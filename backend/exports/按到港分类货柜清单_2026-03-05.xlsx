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C4AF67FB-F142-42EC-AA27-57D8109223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按到港分类货柜清单" sheetId="1" r:id="rId1"/>
    <sheet name="Sheet2" sheetId="3" r:id="rId2"/>
    <sheet name="Sheet1" sheetId="2" r:id="rId3"/>
    <sheet name="Sheet3" sheetId="4" r:id="rId4"/>
  </sheets>
  <definedNames>
    <definedName name="_xlnm._FilterDatabase" localSheetId="2" hidden="1">Sheet1!$A$1:$CT$413</definedName>
    <definedName name="_xlnm._FilterDatabase" localSheetId="0" hidden="1">按到港分类货柜清单!$A$1:$E$351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0" i="1" l="1"/>
  <c r="C219" i="1"/>
  <c r="C218" i="1"/>
  <c r="C215" i="1"/>
  <c r="C214" i="1"/>
  <c r="C213" i="1"/>
  <c r="C212" i="1"/>
  <c r="C211" i="1"/>
  <c r="C210" i="1"/>
  <c r="C209" i="1"/>
  <c r="C208" i="1"/>
  <c r="C207" i="1"/>
  <c r="C205" i="1"/>
  <c r="C201" i="1"/>
  <c r="C199" i="1"/>
  <c r="C196" i="1"/>
  <c r="C195" i="1"/>
  <c r="C193" i="1"/>
  <c r="C192" i="1"/>
  <c r="C191" i="1"/>
  <c r="C189" i="1"/>
  <c r="C188" i="1"/>
  <c r="C187" i="1"/>
  <c r="C184" i="1"/>
  <c r="C183" i="1"/>
  <c r="C182" i="1"/>
  <c r="C181" i="1"/>
  <c r="C180" i="1"/>
  <c r="C178" i="1"/>
  <c r="C176" i="1"/>
  <c r="C175" i="1"/>
  <c r="C174" i="1"/>
  <c r="C172" i="1"/>
  <c r="C170" i="1"/>
  <c r="C166" i="1"/>
  <c r="C164" i="1"/>
  <c r="C162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7" i="1"/>
  <c r="C144" i="1"/>
  <c r="C142" i="1"/>
  <c r="C141" i="1"/>
  <c r="C140" i="1"/>
  <c r="C139" i="1"/>
  <c r="C137" i="1"/>
  <c r="C136" i="1"/>
  <c r="C135" i="1"/>
  <c r="C134" i="1"/>
  <c r="C133" i="1"/>
  <c r="C131" i="1"/>
  <c r="C129" i="1"/>
  <c r="C126" i="1"/>
  <c r="C125" i="1"/>
  <c r="C124" i="1"/>
  <c r="C123" i="1"/>
  <c r="C121" i="1"/>
  <c r="C120" i="1"/>
  <c r="C119" i="1"/>
  <c r="C117" i="1"/>
  <c r="C116" i="1"/>
  <c r="C115" i="1"/>
  <c r="C114" i="1"/>
  <c r="C113" i="1"/>
  <c r="C112" i="1"/>
  <c r="C111" i="1"/>
  <c r="C110" i="1"/>
  <c r="C109" i="1"/>
  <c r="C105" i="1"/>
  <c r="C104" i="1"/>
  <c r="C103" i="1"/>
  <c r="C102" i="1"/>
  <c r="C101" i="1"/>
  <c r="C99" i="1"/>
  <c r="C98" i="1"/>
  <c r="C95" i="1"/>
  <c r="C94" i="1"/>
  <c r="C93" i="1"/>
  <c r="C92" i="1"/>
  <c r="C91" i="1"/>
  <c r="C88" i="1"/>
  <c r="C87" i="1"/>
  <c r="C86" i="1"/>
  <c r="C82" i="1"/>
  <c r="C81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58" i="1"/>
  <c r="C55" i="1"/>
  <c r="C54" i="1"/>
  <c r="C52" i="1"/>
  <c r="C50" i="1"/>
  <c r="C48" i="1"/>
  <c r="L48" i="1"/>
  <c r="L220" i="1"/>
  <c r="L219" i="1"/>
  <c r="L218" i="1"/>
  <c r="L215" i="1"/>
  <c r="L214" i="1"/>
  <c r="L213" i="1"/>
  <c r="L212" i="1"/>
  <c r="L211" i="1"/>
  <c r="L210" i="1"/>
  <c r="L209" i="1"/>
  <c r="L208" i="1"/>
  <c r="L207" i="1"/>
  <c r="L205" i="1"/>
  <c r="L201" i="1"/>
  <c r="L199" i="1"/>
  <c r="L196" i="1"/>
  <c r="L195" i="1"/>
  <c r="L193" i="1"/>
  <c r="L192" i="1"/>
  <c r="L191" i="1"/>
  <c r="L189" i="1"/>
  <c r="L188" i="1"/>
  <c r="L187" i="1"/>
  <c r="L184" i="1"/>
  <c r="L183" i="1"/>
  <c r="L182" i="1"/>
  <c r="L181" i="1"/>
  <c r="L180" i="1"/>
  <c r="L178" i="1"/>
  <c r="L176" i="1"/>
  <c r="L175" i="1"/>
  <c r="L174" i="1"/>
  <c r="L172" i="1"/>
  <c r="L170" i="1"/>
  <c r="L166" i="1"/>
  <c r="L164" i="1"/>
  <c r="L162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7" i="1"/>
  <c r="L144" i="1"/>
  <c r="L142" i="1"/>
  <c r="L141" i="1"/>
  <c r="L140" i="1"/>
  <c r="L139" i="1"/>
  <c r="L137" i="1"/>
  <c r="L136" i="1"/>
  <c r="L135" i="1"/>
  <c r="L134" i="1"/>
  <c r="L133" i="1"/>
  <c r="L131" i="1"/>
  <c r="L129" i="1"/>
  <c r="L126" i="1"/>
  <c r="L125" i="1"/>
  <c r="L124" i="1"/>
  <c r="L123" i="1"/>
  <c r="L121" i="1"/>
  <c r="L120" i="1"/>
  <c r="L119" i="1"/>
  <c r="L117" i="1"/>
  <c r="L116" i="1"/>
  <c r="L115" i="1"/>
  <c r="L114" i="1"/>
  <c r="L113" i="1"/>
  <c r="L112" i="1"/>
  <c r="L111" i="1"/>
  <c r="L110" i="1"/>
  <c r="L109" i="1"/>
  <c r="L105" i="1"/>
  <c r="L104" i="1"/>
  <c r="L103" i="1"/>
  <c r="L102" i="1"/>
  <c r="L101" i="1"/>
  <c r="L99" i="1"/>
  <c r="L98" i="1"/>
  <c r="L95" i="1"/>
  <c r="L94" i="1"/>
  <c r="L93" i="1"/>
  <c r="L92" i="1"/>
  <c r="L91" i="1"/>
  <c r="L88" i="1"/>
  <c r="L87" i="1"/>
  <c r="L86" i="1"/>
  <c r="L82" i="1"/>
  <c r="L81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58" i="1"/>
  <c r="L55" i="1"/>
  <c r="L54" i="1"/>
  <c r="L52" i="1"/>
  <c r="L50" i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2" i="3"/>
  <c r="F4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2" i="1"/>
</calcChain>
</file>

<file path=xl/sharedStrings.xml><?xml version="1.0" encoding="utf-8"?>
<sst xmlns="http://schemas.openxmlformats.org/spreadsheetml/2006/main" count="22498" uniqueCount="3408">
  <si>
    <t>分类</t>
  </si>
  <si>
    <t>集装箱号</t>
  </si>
  <si>
    <t>物流状态</t>
  </si>
  <si>
    <t>目的港</t>
  </si>
  <si>
    <t>ETA（预计到港）</t>
  </si>
  <si>
    <t>ATA（实际到港）</t>
  </si>
  <si>
    <t>备货单号</t>
  </si>
  <si>
    <t>出运日期</t>
  </si>
  <si>
    <t>今日之前到港未提柜</t>
  </si>
  <si>
    <t>BEAU5730626</t>
  </si>
  <si>
    <t>at_port</t>
  </si>
  <si>
    <t>纽瓦克</t>
  </si>
  <si>
    <t>2026-02-18</t>
  </si>
  <si>
    <t>25DSA5613</t>
  </si>
  <si>
    <t>CAAU9221491</t>
  </si>
  <si>
    <t>萨凡纳</t>
  </si>
  <si>
    <t>2026-02-25</t>
  </si>
  <si>
    <t>25DSA5987</t>
  </si>
  <si>
    <t>CAIU7235539</t>
  </si>
  <si>
    <t>洛杉矶</t>
  </si>
  <si>
    <t>2026-02-19</t>
  </si>
  <si>
    <t>25DSA06516</t>
  </si>
  <si>
    <t>CAIU9970363</t>
  </si>
  <si>
    <t>2026-02-24</t>
  </si>
  <si>
    <t>25DSA06334</t>
  </si>
  <si>
    <t>FSCU8507808</t>
  </si>
  <si>
    <t>25DSA06328</t>
  </si>
  <si>
    <t>GCXU5599790</t>
  </si>
  <si>
    <t>25DSA6072</t>
  </si>
  <si>
    <t>HASU4405826</t>
  </si>
  <si>
    <t>25DSA6073</t>
  </si>
  <si>
    <t>HMMU4016860</t>
  </si>
  <si>
    <t>25DSA06317</t>
  </si>
  <si>
    <t>HMMU4139490</t>
  </si>
  <si>
    <t>25DSA06319</t>
  </si>
  <si>
    <t>HMMU4181756</t>
  </si>
  <si>
    <t>长滩</t>
  </si>
  <si>
    <t>2026-02-22</t>
  </si>
  <si>
    <t>2026-02-23</t>
  </si>
  <si>
    <t>25DSA06290</t>
  </si>
  <si>
    <t>HMMU4753337</t>
  </si>
  <si>
    <t>25DSA06273</t>
  </si>
  <si>
    <t>HMMU6350686</t>
  </si>
  <si>
    <t>25DSA06331</t>
  </si>
  <si>
    <t>HMMU6552584</t>
  </si>
  <si>
    <t>25DSA06327</t>
  </si>
  <si>
    <t>HMMU6595800</t>
  </si>
  <si>
    <t>25DSA06333</t>
  </si>
  <si>
    <t>HMMU6671860</t>
  </si>
  <si>
    <t>25DSA06326</t>
  </si>
  <si>
    <t>HMMU6855472</t>
  </si>
  <si>
    <t>25DSA06323</t>
  </si>
  <si>
    <t>HMMU6874528</t>
  </si>
  <si>
    <t>25DSA06330</t>
  </si>
  <si>
    <t>HMMU6947630</t>
  </si>
  <si>
    <t>25DSA06322</t>
  </si>
  <si>
    <t>HMMU7135055</t>
  </si>
  <si>
    <t>25DSA06274</t>
  </si>
  <si>
    <t>HMMU7164789</t>
  </si>
  <si>
    <t>25DSA06320</t>
  </si>
  <si>
    <t>KOCU4690071</t>
  </si>
  <si>
    <t>25DSA06329</t>
  </si>
  <si>
    <t>KOCU4714466</t>
  </si>
  <si>
    <t>25DSA06325</t>
  </si>
  <si>
    <t>KOCU5032943</t>
  </si>
  <si>
    <t>25DSA06292</t>
  </si>
  <si>
    <t>KOCU5073074</t>
  </si>
  <si>
    <t>25DSA06291</t>
  </si>
  <si>
    <t>KOCU5082923</t>
  </si>
  <si>
    <t>25DSA06324</t>
  </si>
  <si>
    <t>MRKU2750203</t>
  </si>
  <si>
    <t>2026-02-20</t>
  </si>
  <si>
    <t>25DSA5687</t>
  </si>
  <si>
    <t>MRKU4378672</t>
  </si>
  <si>
    <t>25DSA0799</t>
  </si>
  <si>
    <t>MRKU4501107</t>
  </si>
  <si>
    <t>25DSA0557</t>
  </si>
  <si>
    <t>MRKU5180737</t>
  </si>
  <si>
    <t>25DSA5677</t>
  </si>
  <si>
    <t>MRKU5557646</t>
  </si>
  <si>
    <t>2026-02-15</t>
  </si>
  <si>
    <t>25DSA06432</t>
  </si>
  <si>
    <t>MRSU3186214</t>
  </si>
  <si>
    <t>25DSA0556</t>
  </si>
  <si>
    <t>MRSU4494227</t>
  </si>
  <si>
    <t>25DSA5614</t>
  </si>
  <si>
    <t>MRSU8517995</t>
  </si>
  <si>
    <t>25DSA6213</t>
  </si>
  <si>
    <t>MRSU8794834</t>
  </si>
  <si>
    <t>25DSA5986</t>
  </si>
  <si>
    <t>MRSU9475512</t>
  </si>
  <si>
    <t>2026-02-26</t>
  </si>
  <si>
    <t>25DSA6051</t>
  </si>
  <si>
    <t>MSKU0627486</t>
  </si>
  <si>
    <t>25DSA6074</t>
  </si>
  <si>
    <t>MSKU1739536</t>
  </si>
  <si>
    <t>25DSA5953</t>
  </si>
  <si>
    <t>MSKU9347315</t>
  </si>
  <si>
    <t>25DSA06515</t>
  </si>
  <si>
    <t>MSMU6370164</t>
  </si>
  <si>
    <t>25DSA5378</t>
  </si>
  <si>
    <t>MSNU5178675</t>
  </si>
  <si>
    <t>25DSA6095</t>
  </si>
  <si>
    <t>TEMU7307910</t>
  </si>
  <si>
    <t>25DSA06316</t>
  </si>
  <si>
    <t>TGBU6878468</t>
  </si>
  <si>
    <t>25DSA5487</t>
  </si>
  <si>
    <t>TLLU5814475</t>
  </si>
  <si>
    <t>25DSA06335</t>
  </si>
  <si>
    <t>TXGU7910130</t>
  </si>
  <si>
    <t>25DSA06318</t>
  </si>
  <si>
    <t>TXGU8539620</t>
  </si>
  <si>
    <t>25DSA06332</t>
  </si>
  <si>
    <t>UETU7804928</t>
  </si>
  <si>
    <t>25DSA06311</t>
  </si>
  <si>
    <t>今日之前到港已提柜</t>
  </si>
  <si>
    <t>BEAU5745293</t>
  </si>
  <si>
    <t>returned_empty</t>
  </si>
  <si>
    <t>2026-02-04</t>
  </si>
  <si>
    <t>2026-02-03</t>
  </si>
  <si>
    <t>25DSA5841</t>
  </si>
  <si>
    <t>BMOU4434917</t>
  </si>
  <si>
    <t>picked_up</t>
  </si>
  <si>
    <t>25DSA6237</t>
  </si>
  <si>
    <t>BMOU4750406</t>
  </si>
  <si>
    <t>纽约</t>
  </si>
  <si>
    <t>2026-02-12</t>
  </si>
  <si>
    <t>25DSA06406</t>
  </si>
  <si>
    <t>BMOU5954723</t>
  </si>
  <si>
    <t>2026-02-13</t>
  </si>
  <si>
    <t>25DSA5998</t>
  </si>
  <si>
    <t>BMOU6025461</t>
  </si>
  <si>
    <t>2026-01-24</t>
  </si>
  <si>
    <t>25DSA6216</t>
  </si>
  <si>
    <t>CAAU5182798</t>
  </si>
  <si>
    <t>2026-02-14</t>
  </si>
  <si>
    <t>25DSA6172</t>
  </si>
  <si>
    <t>CAAU5298366</t>
  </si>
  <si>
    <t>2026-02-06</t>
  </si>
  <si>
    <t>2026-02-05</t>
  </si>
  <si>
    <t>25DSA6121</t>
  </si>
  <si>
    <t>CAAU5306327</t>
  </si>
  <si>
    <t>25DSA6148</t>
  </si>
  <si>
    <t>CAAU5871117</t>
  </si>
  <si>
    <t>25DSA06427</t>
  </si>
  <si>
    <t>CAAU6398884</t>
  </si>
  <si>
    <t>25DSA6071</t>
  </si>
  <si>
    <t>CAIU4403602</t>
  </si>
  <si>
    <t>2026-02-07</t>
  </si>
  <si>
    <t>25DSA06487</t>
  </si>
  <si>
    <t>CAIU4443591</t>
  </si>
  <si>
    <t>25DSA06418</t>
  </si>
  <si>
    <t>CAIU7764152</t>
  </si>
  <si>
    <t>25DSA5854</t>
  </si>
  <si>
    <t>CAIU8752480</t>
  </si>
  <si>
    <t>25DSA5674</t>
  </si>
  <si>
    <t>CAIU9847256</t>
  </si>
  <si>
    <t>25DSA6217</t>
  </si>
  <si>
    <t>CAJU5303664</t>
  </si>
  <si>
    <t>2026-02-11</t>
  </si>
  <si>
    <t>2026-02-10</t>
  </si>
  <si>
    <t>25DSA5947</t>
  </si>
  <si>
    <t>CIPU5045140</t>
  </si>
  <si>
    <t>25DSA06517</t>
  </si>
  <si>
    <t>FFAU1739261</t>
  </si>
  <si>
    <t>2026-02-01</t>
  </si>
  <si>
    <t>25DSA6214</t>
  </si>
  <si>
    <t>FFAU1999660</t>
  </si>
  <si>
    <t>25DSA06485</t>
  </si>
  <si>
    <t>FFAU2353416</t>
  </si>
  <si>
    <t>25DSA06478</t>
  </si>
  <si>
    <t>FFAU7097390</t>
  </si>
  <si>
    <t>25DSA06519</t>
  </si>
  <si>
    <t>FSCU8280139</t>
  </si>
  <si>
    <t>25DSA6162</t>
  </si>
  <si>
    <t>FSCU8356738</t>
  </si>
  <si>
    <t>25DSA06481</t>
  </si>
  <si>
    <t>GAOU6230589</t>
  </si>
  <si>
    <t>25DSA6019</t>
  </si>
  <si>
    <t>HASU4164360</t>
  </si>
  <si>
    <t>25DSA6169</t>
  </si>
  <si>
    <t>HASU4544863</t>
  </si>
  <si>
    <t>25DSA6160</t>
  </si>
  <si>
    <t>HASU4635623</t>
  </si>
  <si>
    <t>25DSA6146</t>
  </si>
  <si>
    <t>HASU4709407</t>
  </si>
  <si>
    <t>25DSA6165</t>
  </si>
  <si>
    <t>HASU4873703</t>
  </si>
  <si>
    <t>25DSA6167</t>
  </si>
  <si>
    <t>HASU4895030</t>
  </si>
  <si>
    <t>25DSA5707</t>
  </si>
  <si>
    <t>HASU4908522</t>
  </si>
  <si>
    <t>25DSA5948</t>
  </si>
  <si>
    <t>HASU5098051</t>
  </si>
  <si>
    <t>25DSA6104</t>
  </si>
  <si>
    <t>HMMU4052023</t>
  </si>
  <si>
    <t>25DSA6245</t>
  </si>
  <si>
    <t>HMMU4177479</t>
  </si>
  <si>
    <t>25DSA06305</t>
  </si>
  <si>
    <t>HMMU4289714</t>
  </si>
  <si>
    <t>25DSA06408</t>
  </si>
  <si>
    <t>HMMU4317950</t>
  </si>
  <si>
    <t>25DSA06414</t>
  </si>
  <si>
    <t>HMMU6059428</t>
  </si>
  <si>
    <t>25DSA06412</t>
  </si>
  <si>
    <t>HMMU6190715</t>
  </si>
  <si>
    <t>25DSA06413</t>
  </si>
  <si>
    <t>HMMU6265603</t>
  </si>
  <si>
    <t>25DSA06420</t>
  </si>
  <si>
    <t>HMMU6351342</t>
  </si>
  <si>
    <t>25DSA06407</t>
  </si>
  <si>
    <t>HMMU6367884</t>
  </si>
  <si>
    <t>25DSA06415</t>
  </si>
  <si>
    <t>HMMU6436080</t>
  </si>
  <si>
    <t>25DSA06425</t>
  </si>
  <si>
    <t>HMMU6469459</t>
  </si>
  <si>
    <t>25DSA6021</t>
  </si>
  <si>
    <t>HMMU6548162</t>
  </si>
  <si>
    <t>25DSA06272</t>
  </si>
  <si>
    <t>HMMU6555161</t>
  </si>
  <si>
    <t>25DSA6020</t>
  </si>
  <si>
    <t>HMMU6624257</t>
  </si>
  <si>
    <t>25DSA06410</t>
  </si>
  <si>
    <t>HMMU6817868</t>
  </si>
  <si>
    <t>25DSA06409</t>
  </si>
  <si>
    <t>HMMU6979302</t>
  </si>
  <si>
    <t>25DSA6022</t>
  </si>
  <si>
    <t>HMMU7095585</t>
  </si>
  <si>
    <t>25DSA06411</t>
  </si>
  <si>
    <t>KOCU4025908</t>
  </si>
  <si>
    <t>25DSA06419</t>
  </si>
  <si>
    <t>KOCU4231339</t>
  </si>
  <si>
    <t>25DSA06270</t>
  </si>
  <si>
    <t>KOCU4564371</t>
  </si>
  <si>
    <t>25DSA06306</t>
  </si>
  <si>
    <t>KOCU4642448</t>
  </si>
  <si>
    <t>25DSA6247</t>
  </si>
  <si>
    <t>KOCU4749837</t>
  </si>
  <si>
    <t>25DSA06421</t>
  </si>
  <si>
    <t>KOCU4872883</t>
  </si>
  <si>
    <t>25DSA6246</t>
  </si>
  <si>
    <t>KOCU5098600</t>
  </si>
  <si>
    <t>25DSA06416</t>
  </si>
  <si>
    <t>KOCU5121450</t>
  </si>
  <si>
    <t>25DSA6248</t>
  </si>
  <si>
    <t>KOCU5142880</t>
  </si>
  <si>
    <t>25DSA06271</t>
  </si>
  <si>
    <t>KOCU5174423</t>
  </si>
  <si>
    <t>25DSA06424</t>
  </si>
  <si>
    <t>KOCU5218650</t>
  </si>
  <si>
    <t>25DSA06417</t>
  </si>
  <si>
    <t>MEDU4417783</t>
  </si>
  <si>
    <t>25DSA6092</t>
  </si>
  <si>
    <t>MEDU4699178</t>
  </si>
  <si>
    <t>25DSA6088</t>
  </si>
  <si>
    <t>MEDU8497426</t>
  </si>
  <si>
    <t>25DSA06436</t>
  </si>
  <si>
    <t>MRKU2231640</t>
  </si>
  <si>
    <t>25DSA6176</t>
  </si>
  <si>
    <t>MRKU2305825</t>
  </si>
  <si>
    <t>25DSA6170</t>
  </si>
  <si>
    <t>MRKU2706010</t>
  </si>
  <si>
    <t>25DSA06439</t>
  </si>
  <si>
    <t>MRKU2759411</t>
  </si>
  <si>
    <t>2026-01-21</t>
  </si>
  <si>
    <t>2026-01-20</t>
  </si>
  <si>
    <t>25DSA6120</t>
  </si>
  <si>
    <t>MRKU3361762</t>
  </si>
  <si>
    <t>25DSA6129</t>
  </si>
  <si>
    <t>MRKU3828688</t>
  </si>
  <si>
    <t>25DSA6175</t>
  </si>
  <si>
    <t>MRKU4027873</t>
  </si>
  <si>
    <t>25DSA5663</t>
  </si>
  <si>
    <t>MRKU4376920</t>
  </si>
  <si>
    <t>25DSA0524</t>
  </si>
  <si>
    <t>MRKU4407997</t>
  </si>
  <si>
    <t>25DSA6145</t>
  </si>
  <si>
    <t>MRKU4744365</t>
  </si>
  <si>
    <t>25DSA06522</t>
  </si>
  <si>
    <t>MRKU5057050</t>
  </si>
  <si>
    <t>25DSA06440</t>
  </si>
  <si>
    <t>MRKU5139939</t>
  </si>
  <si>
    <t>25DSA06513</t>
  </si>
  <si>
    <t>MRKU5200828</t>
  </si>
  <si>
    <t>25DSA6131</t>
  </si>
  <si>
    <t>MRKU5370017</t>
  </si>
  <si>
    <t>25DSA6127</t>
  </si>
  <si>
    <t>MRKU5426841</t>
  </si>
  <si>
    <t>25DSA6150</t>
  </si>
  <si>
    <t>MRKU5688116</t>
  </si>
  <si>
    <t>25DSA6154</t>
  </si>
  <si>
    <t>MRKU6088420</t>
  </si>
  <si>
    <t>25DSA6037</t>
  </si>
  <si>
    <t>MRSU3357298</t>
  </si>
  <si>
    <t>25DSA6070</t>
  </si>
  <si>
    <t>MRSU3453413</t>
  </si>
  <si>
    <t>25DSA6163</t>
  </si>
  <si>
    <t>MRSU3454770</t>
  </si>
  <si>
    <t>2026-02-16</t>
  </si>
  <si>
    <t>2026-02-17</t>
  </si>
  <si>
    <t>25DSA6038</t>
  </si>
  <si>
    <t>MRSU4189619</t>
  </si>
  <si>
    <t>25DSA6151</t>
  </si>
  <si>
    <t>MRSU4349492</t>
  </si>
  <si>
    <t>25DSA5616</t>
  </si>
  <si>
    <t>MRSU4559816</t>
  </si>
  <si>
    <t>25DSA06438</t>
  </si>
  <si>
    <t>MRSU4865246</t>
  </si>
  <si>
    <t>25DSA6149</t>
  </si>
  <si>
    <t>MRSU5532091</t>
  </si>
  <si>
    <t>25DSA6122</t>
  </si>
  <si>
    <t>MRSU5736562</t>
  </si>
  <si>
    <t>25DSA06521</t>
  </si>
  <si>
    <t>MRSU5957856</t>
  </si>
  <si>
    <t>25DSA6152</t>
  </si>
  <si>
    <t>MRSU6299050</t>
  </si>
  <si>
    <t>25DSA6069</t>
  </si>
  <si>
    <t>MRSU6937638</t>
  </si>
  <si>
    <t>25DSA5934</t>
  </si>
  <si>
    <t>MRSU8026116</t>
  </si>
  <si>
    <t>25DSA06512</t>
  </si>
  <si>
    <t>MRSU8056445</t>
  </si>
  <si>
    <t>25DSA06520</t>
  </si>
  <si>
    <t>MRSU8287892</t>
  </si>
  <si>
    <t>25DSA6125</t>
  </si>
  <si>
    <t>MSBU6628147</t>
  </si>
  <si>
    <t>2026-02-09</t>
  </si>
  <si>
    <t>25DSA06268</t>
  </si>
  <si>
    <t>MSBU7381684</t>
  </si>
  <si>
    <t>25DSA6218</t>
  </si>
  <si>
    <t>MSDU5426895</t>
  </si>
  <si>
    <t>25DSA06314</t>
  </si>
  <si>
    <t>MSDU5890674</t>
  </si>
  <si>
    <t>25DSA06313</t>
  </si>
  <si>
    <t>MSDU6287259</t>
  </si>
  <si>
    <t>25DSA06488</t>
  </si>
  <si>
    <t>MSDU6463764</t>
  </si>
  <si>
    <t>25DSA6047</t>
  </si>
  <si>
    <t>MSDU7389701</t>
  </si>
  <si>
    <t>25DSA06484</t>
  </si>
  <si>
    <t>MSDU7632133</t>
  </si>
  <si>
    <t>2026-02-02</t>
  </si>
  <si>
    <t>25DSA06479</t>
  </si>
  <si>
    <t>MSDU8731790</t>
  </si>
  <si>
    <t>25DSA6090</t>
  </si>
  <si>
    <t>MSKU0179587</t>
  </si>
  <si>
    <t>25DSA6142</t>
  </si>
  <si>
    <t>MSKU0417469</t>
  </si>
  <si>
    <t>25DSA06442</t>
  </si>
  <si>
    <t>MSKU0533284</t>
  </si>
  <si>
    <t>25DSA5970</t>
  </si>
  <si>
    <t>MSKU1118267</t>
  </si>
  <si>
    <t>25DSA6161</t>
  </si>
  <si>
    <t>MSKU1502349</t>
  </si>
  <si>
    <t>25DSA6159</t>
  </si>
  <si>
    <t>MSKU1542640</t>
  </si>
  <si>
    <t>25DSA5969</t>
  </si>
  <si>
    <t>MSKU9367522</t>
  </si>
  <si>
    <t>25DSA5662</t>
  </si>
  <si>
    <t>MSKU9486012</t>
  </si>
  <si>
    <t>25DSA5664</t>
  </si>
  <si>
    <t>MSKU9840980</t>
  </si>
  <si>
    <t>25DSA06518</t>
  </si>
  <si>
    <t>MSMU4485605</t>
  </si>
  <si>
    <t>25DSA6230</t>
  </si>
  <si>
    <t>MSMU6212240</t>
  </si>
  <si>
    <t>25DSA5510</t>
  </si>
  <si>
    <t>MSMU6515458</t>
  </si>
  <si>
    <t>25DSA6068</t>
  </si>
  <si>
    <t>MSMU6613460</t>
  </si>
  <si>
    <t>25DSA06426</t>
  </si>
  <si>
    <t>MSMU6873153</t>
  </si>
  <si>
    <t>25DSA6091</t>
  </si>
  <si>
    <t>MSMU8686038</t>
  </si>
  <si>
    <t>25DSA6219</t>
  </si>
  <si>
    <t>MSMU8882410</t>
  </si>
  <si>
    <t>25DSA6240</t>
  </si>
  <si>
    <t>MSMU8929328</t>
  </si>
  <si>
    <t>25DSA6093</t>
  </si>
  <si>
    <t>MSNU5696057</t>
  </si>
  <si>
    <t>25DSA06486</t>
  </si>
  <si>
    <t>MSNU7697643</t>
  </si>
  <si>
    <t>2026-01-25</t>
  </si>
  <si>
    <t>25DSA06269</t>
  </si>
  <si>
    <t>MSNU7925656</t>
  </si>
  <si>
    <t>25DSA6233</t>
  </si>
  <si>
    <t>MSNU7940028</t>
  </si>
  <si>
    <t>25DSA06435</t>
  </si>
  <si>
    <t>PONU7626774</t>
  </si>
  <si>
    <t>25DSA6174</t>
  </si>
  <si>
    <t>SEKU6690530</t>
  </si>
  <si>
    <t>25DSA5946</t>
  </si>
  <si>
    <t>SEKU6749134</t>
  </si>
  <si>
    <t>25DSA06489</t>
  </si>
  <si>
    <t>SUDU6567881</t>
  </si>
  <si>
    <t>25DSA6147</t>
  </si>
  <si>
    <t>SUDU6657440</t>
  </si>
  <si>
    <t>25DSA0525</t>
  </si>
  <si>
    <t>SUDU6815437</t>
  </si>
  <si>
    <t>25DSA6178</t>
  </si>
  <si>
    <t>SUDU6922158</t>
  </si>
  <si>
    <t>25DSA6040</t>
  </si>
  <si>
    <t>SUDU8528225</t>
  </si>
  <si>
    <t>25DSA5933</t>
  </si>
  <si>
    <t>SUDU8776915</t>
  </si>
  <si>
    <t>25DSA6153</t>
  </si>
  <si>
    <t>SUDU8825178</t>
  </si>
  <si>
    <t>25DSA6164</t>
  </si>
  <si>
    <t>SUDU8847752</t>
  </si>
  <si>
    <t>25DSA6173</t>
  </si>
  <si>
    <t>TCKU6951224</t>
  </si>
  <si>
    <t>25DSA6119</t>
  </si>
  <si>
    <t>TCKU7094070</t>
  </si>
  <si>
    <t>25DSA0526</t>
  </si>
  <si>
    <t>TCKU7495725</t>
  </si>
  <si>
    <t>25DSA6128</t>
  </si>
  <si>
    <t>TCKU7549349</t>
  </si>
  <si>
    <t>25DSA06437</t>
  </si>
  <si>
    <t>TCKU7578310</t>
  </si>
  <si>
    <t>25DSA6123</t>
  </si>
  <si>
    <t>TCLU8138490</t>
  </si>
  <si>
    <t>25DSA6222</t>
  </si>
  <si>
    <t>TCLU9763130</t>
  </si>
  <si>
    <t>25DSA6171</t>
  </si>
  <si>
    <t>TCNU1311091</t>
  </si>
  <si>
    <t>25DSA6220</t>
  </si>
  <si>
    <t>TCNU2495049</t>
  </si>
  <si>
    <t>25DSA6155</t>
  </si>
  <si>
    <t>TCNU6419181</t>
  </si>
  <si>
    <t>25DSA6130</t>
  </si>
  <si>
    <t>TCNU8367512</t>
  </si>
  <si>
    <t>25DSA6105</t>
  </si>
  <si>
    <t>TEMU6148048</t>
  </si>
  <si>
    <t>25DSA06441</t>
  </si>
  <si>
    <t>TEMU7602833</t>
  </si>
  <si>
    <t>25DSA6144</t>
  </si>
  <si>
    <t>TEMU8254429</t>
  </si>
  <si>
    <t>25DSA06310</t>
  </si>
  <si>
    <t>TEMU8709765</t>
  </si>
  <si>
    <t>25DSA6229</t>
  </si>
  <si>
    <t>TGBU5393077</t>
  </si>
  <si>
    <t>25DSA6166</t>
  </si>
  <si>
    <t>TGBU9337364</t>
  </si>
  <si>
    <t>25DSA06433</t>
  </si>
  <si>
    <t>TGBU9374692</t>
  </si>
  <si>
    <t>25DSA5935</t>
  </si>
  <si>
    <t>TGBU9618799</t>
  </si>
  <si>
    <t>25DSA6225</t>
  </si>
  <si>
    <t>TGBU9849864</t>
  </si>
  <si>
    <t>25DSA6223</t>
  </si>
  <si>
    <t>TGBU9872020</t>
  </si>
  <si>
    <t>25DSA06312</t>
  </si>
  <si>
    <t>TGCU5145095</t>
  </si>
  <si>
    <t>25DSA6089</t>
  </si>
  <si>
    <t>TIIU5975668</t>
  </si>
  <si>
    <t>25DSA6250</t>
  </si>
  <si>
    <t>TIIU6394734</t>
  </si>
  <si>
    <t>25DSA06422</t>
  </si>
  <si>
    <t>TLLU5821453</t>
  </si>
  <si>
    <t>25DSA6249</t>
  </si>
  <si>
    <t>TRHU4859138</t>
  </si>
  <si>
    <t>25DSA6141</t>
  </si>
  <si>
    <t>TRHU8171858</t>
  </si>
  <si>
    <t>25DSA6168</t>
  </si>
  <si>
    <t>TXGU5288412</t>
  </si>
  <si>
    <t>25DSA06480</t>
  </si>
  <si>
    <t>TXGU7271960</t>
  </si>
  <si>
    <t>25DSA06483</t>
  </si>
  <si>
    <t>TXGU8520136</t>
  </si>
  <si>
    <t>25DSA06423</t>
  </si>
  <si>
    <t>TXGU8626679</t>
  </si>
  <si>
    <t>25DSA06482</t>
  </si>
  <si>
    <t>TXGU8649247</t>
  </si>
  <si>
    <t>25DSA6221</t>
  </si>
  <si>
    <t>UASU1060024</t>
  </si>
  <si>
    <t>25DSA6256</t>
  </si>
  <si>
    <t>UETU5576177</t>
  </si>
  <si>
    <t>25DSA06315</t>
  </si>
  <si>
    <t>UETU6290995</t>
  </si>
  <si>
    <t>25DSA6143</t>
  </si>
  <si>
    <t>UETU6952290</t>
  </si>
  <si>
    <t>25DSA6177</t>
  </si>
  <si>
    <t>UETU8504437</t>
  </si>
  <si>
    <t>25DSA6124</t>
  </si>
  <si>
    <t>今日之前到港无ATA</t>
  </si>
  <si>
    <t>CAAU9304575</t>
  </si>
  <si>
    <t>2026-03-07</t>
  </si>
  <si>
    <t>25DSA0541</t>
  </si>
  <si>
    <t>CAIU4622771</t>
  </si>
  <si>
    <t>2026-03-01</t>
  </si>
  <si>
    <t>25DSA06378</t>
  </si>
  <si>
    <t>CAIU7554752</t>
  </si>
  <si>
    <t>2026-03-05</t>
  </si>
  <si>
    <t>25DSA06369</t>
  </si>
  <si>
    <t>CLKU5013554</t>
  </si>
  <si>
    <t>25DSA06357</t>
  </si>
  <si>
    <t>FFAU1712851</t>
  </si>
  <si>
    <t>2026-03-02</t>
  </si>
  <si>
    <t>25DSA6231</t>
  </si>
  <si>
    <t>FFAU4028185</t>
  </si>
  <si>
    <t>2026-03-11</t>
  </si>
  <si>
    <t>25DSA6196</t>
  </si>
  <si>
    <t>FFAU5830805</t>
  </si>
  <si>
    <t>2026-03-04</t>
  </si>
  <si>
    <t>25DSA6227</t>
  </si>
  <si>
    <t>HASU4262160</t>
  </si>
  <si>
    <t>2026-03-19</t>
  </si>
  <si>
    <t>25DSA5959</t>
  </si>
  <si>
    <t>HASU5047624</t>
  </si>
  <si>
    <t>25DSA5984</t>
  </si>
  <si>
    <t>HMMU4141780</t>
  </si>
  <si>
    <t>25DSA06351</t>
  </si>
  <si>
    <t>HMMU4257933</t>
  </si>
  <si>
    <t>25DSA06356</t>
  </si>
  <si>
    <t>HMMU4650339</t>
  </si>
  <si>
    <t>2026-02-28</t>
  </si>
  <si>
    <t>25DSA06321</t>
  </si>
  <si>
    <t>HMMU4742266</t>
  </si>
  <si>
    <t>25DSA06401</t>
  </si>
  <si>
    <t>HMMU4744171</t>
  </si>
  <si>
    <t>25DSA06399</t>
  </si>
  <si>
    <t>HMMU4744633</t>
  </si>
  <si>
    <t>25DSA06403</t>
  </si>
  <si>
    <t>HMMU4754159</t>
  </si>
  <si>
    <t>25DSA06405</t>
  </si>
  <si>
    <t>KOCU4449845</t>
  </si>
  <si>
    <t>25DSA06400</t>
  </si>
  <si>
    <t>KOCU5018502</t>
  </si>
  <si>
    <t>25DSA06404</t>
  </si>
  <si>
    <t>MRKU3444614</t>
  </si>
  <si>
    <t>2026-03-12</t>
  </si>
  <si>
    <t>25DSA5958</t>
  </si>
  <si>
    <t>MRKU5262054</t>
  </si>
  <si>
    <t>25DSA6043</t>
  </si>
  <si>
    <t>MRSU3733332</t>
  </si>
  <si>
    <t>2026-03-28</t>
  </si>
  <si>
    <t>25DSA5686</t>
  </si>
  <si>
    <t>MRSU7893030</t>
  </si>
  <si>
    <t>25DSA06375</t>
  </si>
  <si>
    <t>MSBU5432170</t>
  </si>
  <si>
    <t>25DSA5694</t>
  </si>
  <si>
    <t>MSDU7009798</t>
  </si>
  <si>
    <t>2026-03-27</t>
  </si>
  <si>
    <t>25DSA6234</t>
  </si>
  <si>
    <t>MSDU7885255</t>
  </si>
  <si>
    <t>2026-03-14</t>
  </si>
  <si>
    <t>25DSA5696</t>
  </si>
  <si>
    <t>MSKU0675165</t>
  </si>
  <si>
    <t>25DSA5988</t>
  </si>
  <si>
    <t>MSKU1175837</t>
  </si>
  <si>
    <t>25DSA06377</t>
  </si>
  <si>
    <t>MSKU9538841</t>
  </si>
  <si>
    <t>25DSA5985</t>
  </si>
  <si>
    <t>MSMU4245230</t>
  </si>
  <si>
    <t>25DSA6228</t>
  </si>
  <si>
    <t>MSMU4283923</t>
  </si>
  <si>
    <t>25DSA5697</t>
  </si>
  <si>
    <t>MSMU4405786</t>
  </si>
  <si>
    <t>25DSA6238</t>
  </si>
  <si>
    <t>MSMU5896909</t>
  </si>
  <si>
    <t>25DSA6226</t>
  </si>
  <si>
    <t>MSMU6090081</t>
  </si>
  <si>
    <t>2026-03-13</t>
  </si>
  <si>
    <t>25DSA6241</t>
  </si>
  <si>
    <t>MSMU6525688</t>
  </si>
  <si>
    <t>25DSA6243</t>
  </si>
  <si>
    <t>MSMU6975303</t>
  </si>
  <si>
    <t>25DSA6002</t>
  </si>
  <si>
    <t>MSMU7907303</t>
  </si>
  <si>
    <t>25DSA6232</t>
  </si>
  <si>
    <t>MSMU8076713</t>
  </si>
  <si>
    <t>25DSA6239</t>
  </si>
  <si>
    <t>MSMU8485434</t>
  </si>
  <si>
    <t>25DSA5511</t>
  </si>
  <si>
    <t>SELU4095577</t>
  </si>
  <si>
    <t>25DSA5971</t>
  </si>
  <si>
    <t>TCLU6435185</t>
  </si>
  <si>
    <t>25DSA06376</t>
  </si>
  <si>
    <t>TEMU7092534</t>
  </si>
  <si>
    <t>25DSA06358</t>
  </si>
  <si>
    <t>TEMU8463033</t>
  </si>
  <si>
    <t>25DSA6244</t>
  </si>
  <si>
    <t>TIIU4429744</t>
  </si>
  <si>
    <t>25DSA6242</t>
  </si>
  <si>
    <t>TRHU8205011</t>
  </si>
  <si>
    <t>25DSA5695</t>
  </si>
  <si>
    <t>TXGU8883825</t>
  </si>
  <si>
    <t>25DSA06355</t>
  </si>
  <si>
    <t>UETU7670557</t>
  </si>
  <si>
    <t>25DSA6224</t>
  </si>
  <si>
    <t>逾期未到港</t>
  </si>
  <si>
    <t>CAAU6424936</t>
  </si>
  <si>
    <t>in_transit</t>
  </si>
  <si>
    <t>2026-03-03</t>
  </si>
  <si>
    <t>25DSA6048</t>
  </si>
  <si>
    <t>FFAU2763072</t>
  </si>
  <si>
    <t>25DSA6007</t>
  </si>
  <si>
    <t>FFAU4147142</t>
  </si>
  <si>
    <t>25DSA06388</t>
  </si>
  <si>
    <t>FFAU6704057</t>
  </si>
  <si>
    <t>2026-02-27</t>
  </si>
  <si>
    <t>25DSA06445</t>
  </si>
  <si>
    <t>GCXU5052946</t>
  </si>
  <si>
    <t>25DSA06354</t>
  </si>
  <si>
    <t>GESU6765687</t>
  </si>
  <si>
    <t>25DSA06443</t>
  </si>
  <si>
    <t>HMMU4745368</t>
  </si>
  <si>
    <t>25DSA06396</t>
  </si>
  <si>
    <t>HMMU4745542</t>
  </si>
  <si>
    <t>25DSA06393</t>
  </si>
  <si>
    <t>HMMU4745835</t>
  </si>
  <si>
    <t>25DSA06394</t>
  </si>
  <si>
    <t>HMMU4751360</t>
  </si>
  <si>
    <t>25DSA06392</t>
  </si>
  <si>
    <t>HMMU4753091</t>
  </si>
  <si>
    <t>25DSA06398</t>
  </si>
  <si>
    <t>HMMU4753785</t>
  </si>
  <si>
    <t>25DSA06395</t>
  </si>
  <si>
    <t>HMMU6111526</t>
  </si>
  <si>
    <t>25DSA06353</t>
  </si>
  <si>
    <t>HMMU6284326</t>
  </si>
  <si>
    <t>25DSA06352</t>
  </si>
  <si>
    <t>HMMU6985239</t>
  </si>
  <si>
    <t>25DSA06391</t>
  </si>
  <si>
    <t>KOCU4631844</t>
  </si>
  <si>
    <t>25DSA06359</t>
  </si>
  <si>
    <t>MAGU5260319</t>
  </si>
  <si>
    <t>25DSA5490</t>
  </si>
  <si>
    <t>MEDU4945651</t>
  </si>
  <si>
    <t>25DSA06387</t>
  </si>
  <si>
    <t>MRKU2809678</t>
  </si>
  <si>
    <t>25DSA06449</t>
  </si>
  <si>
    <t>MRKU5071551</t>
  </si>
  <si>
    <t>25DSA06452</t>
  </si>
  <si>
    <t>MRKU5728780</t>
  </si>
  <si>
    <t>25DSA06383</t>
  </si>
  <si>
    <t>MRSU3098622</t>
  </si>
  <si>
    <t>25DSA06448</t>
  </si>
  <si>
    <t>MRSU3111787</t>
  </si>
  <si>
    <t>25DSA06451</t>
  </si>
  <si>
    <t>MRSU4494280</t>
  </si>
  <si>
    <t>25DSA06382</t>
  </si>
  <si>
    <t>MRSU5038915</t>
  </si>
  <si>
    <t>25DSA06450</t>
  </si>
  <si>
    <t>MRSU7851230</t>
  </si>
  <si>
    <t>25DSA06444</t>
  </si>
  <si>
    <t>MSBU5540642</t>
  </si>
  <si>
    <t>25DSA06385</t>
  </si>
  <si>
    <t>MSCU5159429</t>
  </si>
  <si>
    <t>25DSA06389</t>
  </si>
  <si>
    <t>MSDU8358599</t>
  </si>
  <si>
    <t>25DSA06386</t>
  </si>
  <si>
    <t>MSDU8471840</t>
  </si>
  <si>
    <t>25DSA5750</t>
  </si>
  <si>
    <t>MSMU7303216</t>
  </si>
  <si>
    <t>25DSA06390</t>
  </si>
  <si>
    <t>SEKU6886060</t>
  </si>
  <si>
    <t>25DSA06491</t>
  </si>
  <si>
    <t>SUDU5723824</t>
  </si>
  <si>
    <t>25DSA06446</t>
  </si>
  <si>
    <t>TCKU6101299</t>
  </si>
  <si>
    <t>25DSA06397</t>
  </si>
  <si>
    <t>TCKU6115857</t>
  </si>
  <si>
    <t>25DSA06360</t>
  </si>
  <si>
    <t>TCNU1456942</t>
  </si>
  <si>
    <t>25DSA06447</t>
  </si>
  <si>
    <t>TCNU5084329</t>
  </si>
  <si>
    <t>25DSA06402</t>
  </si>
  <si>
    <t>TCNU6363077</t>
  </si>
  <si>
    <t>25DSA06490</t>
  </si>
  <si>
    <t>TEXU9546162</t>
  </si>
  <si>
    <t>25DSA6049</t>
  </si>
  <si>
    <t>TGBU7946700</t>
  </si>
  <si>
    <t>25DSA6036</t>
  </si>
  <si>
    <t>TLLU8797772</t>
  </si>
  <si>
    <t>25DSA6008</t>
  </si>
  <si>
    <t>TRHU8494125</t>
  </si>
  <si>
    <t>25DSA06526</t>
  </si>
  <si>
    <t>预计在途</t>
  </si>
  <si>
    <t>CAAU9839047</t>
  </si>
  <si>
    <t>2026-03-17</t>
  </si>
  <si>
    <t>25DSA06525</t>
  </si>
  <si>
    <t>CAIU4821074</t>
  </si>
  <si>
    <t>25DSA5866</t>
  </si>
  <si>
    <t>CAIU7769787</t>
  </si>
  <si>
    <t>2026-03-06</t>
  </si>
  <si>
    <t>25DSA6101</t>
  </si>
  <si>
    <t>CARU9976666</t>
  </si>
  <si>
    <t>25DSA6100</t>
  </si>
  <si>
    <t>HASU4813155</t>
  </si>
  <si>
    <t>25DSA06380</t>
  </si>
  <si>
    <t>HMMU4228318</t>
  </si>
  <si>
    <t>25DSA06342</t>
  </si>
  <si>
    <t>HMMU4577618</t>
  </si>
  <si>
    <t>25DSA06340</t>
  </si>
  <si>
    <t>HMMU4580550</t>
  </si>
  <si>
    <t>25DSA06336</t>
  </si>
  <si>
    <t>HMMU4582759</t>
  </si>
  <si>
    <t>25DSA06348</t>
  </si>
  <si>
    <t>HMMU4619077</t>
  </si>
  <si>
    <t>25DSA06343</t>
  </si>
  <si>
    <t>HMMU4747479</t>
  </si>
  <si>
    <t>25DSA06349</t>
  </si>
  <si>
    <t>HMMU4748048</t>
  </si>
  <si>
    <t>25DSA06341</t>
  </si>
  <si>
    <t>HMMU4748182</t>
  </si>
  <si>
    <t>25DSA06350</t>
  </si>
  <si>
    <t>HMMU4748243</t>
  </si>
  <si>
    <t>25DSA06337</t>
  </si>
  <si>
    <t>HMMU4749717</t>
  </si>
  <si>
    <t>25DSA06345</t>
  </si>
  <si>
    <t>HMMU4750132</t>
  </si>
  <si>
    <t>25DSA06347</t>
  </si>
  <si>
    <t>HMMU6759020</t>
  </si>
  <si>
    <t>25DSA06346</t>
  </si>
  <si>
    <t>KOCU4469522</t>
  </si>
  <si>
    <t>25DSA06339</t>
  </si>
  <si>
    <t>KOCU4707180</t>
  </si>
  <si>
    <t>25DSA06344</t>
  </si>
  <si>
    <t>MEDU4819761</t>
  </si>
  <si>
    <t>25DSA6096</t>
  </si>
  <si>
    <t>MIEU2034148</t>
  </si>
  <si>
    <t>25DSA6094</t>
  </si>
  <si>
    <t>MRKU3416818</t>
  </si>
  <si>
    <t>25DSA6004</t>
  </si>
  <si>
    <t>MRKU3724929</t>
  </si>
  <si>
    <t>25DSA06379</t>
  </si>
  <si>
    <t>MRKU4623810</t>
  </si>
  <si>
    <t>25DSA06381</t>
  </si>
  <si>
    <t>MRKU4821517</t>
  </si>
  <si>
    <t>25DSA06527</t>
  </si>
  <si>
    <t>MRSU3452931</t>
  </si>
  <si>
    <t>2026-03-10</t>
  </si>
  <si>
    <t>25DSA06523</t>
  </si>
  <si>
    <t>MRSU6983422</t>
  </si>
  <si>
    <t>25DSA06476</t>
  </si>
  <si>
    <t>MRSU8758631</t>
  </si>
  <si>
    <t>25DSA06477</t>
  </si>
  <si>
    <t>MSCU5143850</t>
  </si>
  <si>
    <t>25DSA6102</t>
  </si>
  <si>
    <t>MSDU5273986</t>
  </si>
  <si>
    <t>25DSA6097</t>
  </si>
  <si>
    <t>MSDU5985532</t>
  </si>
  <si>
    <t>25DSA6099</t>
  </si>
  <si>
    <t>MSKU1915912</t>
  </si>
  <si>
    <t>25DSA6106</t>
  </si>
  <si>
    <t>MSKU1926861</t>
  </si>
  <si>
    <t>25DSA06524</t>
  </si>
  <si>
    <t>MSKU9860591</t>
  </si>
  <si>
    <t>25DSA6003</t>
  </si>
  <si>
    <t>MSMU4392884</t>
  </si>
  <si>
    <t>25DSA6251</t>
  </si>
  <si>
    <t>MSNU7142157</t>
  </si>
  <si>
    <t>25DSA6204</t>
  </si>
  <si>
    <t>MSNU9717311</t>
  </si>
  <si>
    <t>25DSA6098</t>
  </si>
  <si>
    <t>SEGU6015115</t>
  </si>
  <si>
    <t>25DSA06338</t>
  </si>
  <si>
    <t>TCLU6317921</t>
  </si>
  <si>
    <t>2026-03-24</t>
  </si>
  <si>
    <t>25DSA06384</t>
  </si>
  <si>
    <t>TEMU7974152</t>
  </si>
  <si>
    <t>25DSA06434</t>
  </si>
  <si>
    <t>TEMU8187188</t>
  </si>
  <si>
    <t>25DSA6253</t>
  </si>
  <si>
    <t>UETU6078224</t>
  </si>
  <si>
    <t>25DSA6254</t>
  </si>
  <si>
    <t>UETU6865976</t>
  </si>
  <si>
    <t>25DSA6252</t>
  </si>
  <si>
    <t>是否查验</t>
  </si>
  <si>
    <t>销往国家</t>
  </si>
  <si>
    <t>主备货单号</t>
  </si>
  <si>
    <t>备货单状态</t>
  </si>
  <si>
    <t>清关状态</t>
  </si>
  <si>
    <t>提单号</t>
  </si>
  <si>
    <t>船公司</t>
  </si>
  <si>
    <t>柜型</t>
  </si>
  <si>
    <t>Wayfair SPO</t>
  </si>
  <si>
    <t>是否装配件</t>
  </si>
  <si>
    <t>特殊货物体积</t>
  </si>
  <si>
    <t>起运港</t>
  </si>
  <si>
    <t>起运港货代公司</t>
  </si>
  <si>
    <t>入库仓库组</t>
  </si>
  <si>
    <t>预计到港日期</t>
  </si>
  <si>
    <t>ETA修正</t>
  </si>
  <si>
    <t>计划清关日期</t>
  </si>
  <si>
    <t>实际清关日期</t>
  </si>
  <si>
    <t>目的港清关公司</t>
  </si>
  <si>
    <t>是否开箱</t>
  </si>
  <si>
    <t>清关单据状态</t>
  </si>
  <si>
    <t>全部生成日期</t>
  </si>
  <si>
    <t>异常原因(清关信息表）</t>
  </si>
  <si>
    <t>途经港</t>
  </si>
  <si>
    <t>途经港到达日期</t>
  </si>
  <si>
    <t>目的港到达日期</t>
  </si>
  <si>
    <t>目的港卸船/火车日期</t>
  </si>
  <si>
    <t>目的港码头</t>
  </si>
  <si>
    <t>最后免费日期</t>
  </si>
  <si>
    <t>是否预提</t>
  </si>
  <si>
    <t>运输方式</t>
  </si>
  <si>
    <t>目的港卡车</t>
  </si>
  <si>
    <t>仓库(计划)</t>
  </si>
  <si>
    <t>仓库(实际)</t>
  </si>
  <si>
    <t>入库日期</t>
  </si>
  <si>
    <t>最晚提柜日期</t>
  </si>
  <si>
    <t>计划提柜日期</t>
  </si>
  <si>
    <t>提柜日期</t>
  </si>
  <si>
    <t>最晚送仓日期</t>
  </si>
  <si>
    <t>计划送仓日期</t>
  </si>
  <si>
    <t>卸柜方式(计划)</t>
  </si>
  <si>
    <t>卸柜方式（实际）</t>
  </si>
  <si>
    <t>最晚卸柜日期</t>
  </si>
  <si>
    <t>计划卸柜日期</t>
  </si>
  <si>
    <t>卸空日期</t>
  </si>
  <si>
    <t>最晚还箱日期</t>
  </si>
  <si>
    <t>计划还箱日期</t>
  </si>
  <si>
    <t>还箱日期</t>
  </si>
  <si>
    <t>备注(物流信息表）</t>
  </si>
  <si>
    <t>提柜通知</t>
  </si>
  <si>
    <t>货柜承运商</t>
  </si>
  <si>
    <t>卸柜门</t>
  </si>
  <si>
    <t>卸柜公司</t>
  </si>
  <si>
    <t>通知取空日期</t>
  </si>
  <si>
    <t>取空时间</t>
  </si>
  <si>
    <t>备注(仓库信息表)</t>
  </si>
  <si>
    <t>价格条款</t>
  </si>
  <si>
    <t>箱数合计</t>
  </si>
  <si>
    <t>体积合计(m3)</t>
  </si>
  <si>
    <t>毛重合计(KG)</t>
  </si>
  <si>
    <t>出运总价</t>
  </si>
  <si>
    <t>议付金额FOB</t>
  </si>
  <si>
    <t>议付金额CIF</t>
  </si>
  <si>
    <t>议付金额</t>
  </si>
  <si>
    <t>海运费币种</t>
  </si>
  <si>
    <t>标准海运费金额</t>
  </si>
  <si>
    <t>目的地</t>
  </si>
  <si>
    <t>船名</t>
  </si>
  <si>
    <t>航次</t>
  </si>
  <si>
    <t>ISF申报状态</t>
  </si>
  <si>
    <t>ISF申报日期</t>
  </si>
  <si>
    <t>免堆期(天)</t>
  </si>
  <si>
    <t>场内免箱期(天)</t>
  </si>
  <si>
    <t>场外免箱期(天)</t>
  </si>
  <si>
    <t>放单日期</t>
  </si>
  <si>
    <t>传递日期</t>
  </si>
  <si>
    <t>进港日期</t>
  </si>
  <si>
    <t>MBL SCAC</t>
  </si>
  <si>
    <t>MBL Number</t>
  </si>
  <si>
    <t>HBL SCAC</t>
  </si>
  <si>
    <t>HBL Number</t>
  </si>
  <si>
    <t>AMS Number</t>
  </si>
  <si>
    <t>进火车堆场日期</t>
  </si>
  <si>
    <t>进卡车堆场日期</t>
  </si>
  <si>
    <t>WMS入库状态</t>
  </si>
  <si>
    <t>EBS入库状态</t>
  </si>
  <si>
    <t>WMS Confirm Date</t>
  </si>
  <si>
    <t>母船出运日期</t>
  </si>
  <si>
    <t>母船船名</t>
  </si>
  <si>
    <t>母船船次</t>
  </si>
  <si>
    <t>含要求打托产品</t>
  </si>
  <si>
    <t>采购贸易模式</t>
  </si>
  <si>
    <t>否</t>
  </si>
  <si>
    <t>AOSOM LLC</t>
  </si>
  <si>
    <t>已出运</t>
  </si>
  <si>
    <t>未清关</t>
  </si>
  <si>
    <t>已提柜</t>
  </si>
  <si>
    <t>277629038</t>
  </si>
  <si>
    <t>MAERSK</t>
  </si>
  <si>
    <t>40HQ</t>
  </si>
  <si>
    <t>宁波</t>
  </si>
  <si>
    <t>简达物流集团股份有限公司</t>
  </si>
  <si>
    <t>New Jersey Warehouse Group</t>
  </si>
  <si>
    <t>2026-02-18 18:30:00</t>
  </si>
  <si>
    <t>2026-01-11 00:00:00</t>
  </si>
  <si>
    <t>Sen Mart International Inc.</t>
  </si>
  <si>
    <t>部分生成</t>
  </si>
  <si>
    <t>2026-02-18 20:46:00</t>
  </si>
  <si>
    <t>2026-02-19 08:34:00</t>
  </si>
  <si>
    <t>APM TERMINAL - BERTH 88 E425</t>
  </si>
  <si>
    <t>2026-02-27 18:10:25</t>
  </si>
  <si>
    <t>卡车</t>
  </si>
  <si>
    <t>JK EXPRESS USA INC</t>
  </si>
  <si>
    <t>AOSOM NJ-1</t>
  </si>
  <si>
    <t>2026-02-27 23:59:59</t>
  </si>
  <si>
    <t>2026-02-23 12:00:00</t>
  </si>
  <si>
    <t>2026-02-26 15:41:00</t>
  </si>
  <si>
    <t>Drop off</t>
  </si>
  <si>
    <t>2026-02-24 12:00:00</t>
  </si>
  <si>
    <t>2026-02-23 00:00:00</t>
  </si>
  <si>
    <t>2026-03-09 23:59:59</t>
  </si>
  <si>
    <t>2026-02-24 00:00:00</t>
  </si>
  <si>
    <t>FOB</t>
  </si>
  <si>
    <t>美元</t>
  </si>
  <si>
    <t>VIENNA EXPRESS</t>
  </si>
  <si>
    <t>602E</t>
  </si>
  <si>
    <t>已申报</t>
  </si>
  <si>
    <t>2026-01-01 21:01:35</t>
  </si>
  <si>
    <t>2026-01-11 20:16:20</t>
  </si>
  <si>
    <t>MAEU</t>
  </si>
  <si>
    <t>MAEU277629038</t>
  </si>
  <si>
    <t>2026-01-14 00:00:00</t>
  </si>
  <si>
    <t>B2B：需换单</t>
  </si>
  <si>
    <t>277629067</t>
  </si>
  <si>
    <t>2026-02-19 14:20:00</t>
  </si>
  <si>
    <t>2026-02-27 18:13:38</t>
  </si>
  <si>
    <t>2026-02-26 15:34:00</t>
  </si>
  <si>
    <t>2025-12-31 21:01:54</t>
  </si>
  <si>
    <t>2026-01-11 20:15:42</t>
  </si>
  <si>
    <t>MAEU277629067</t>
  </si>
  <si>
    <t>277629066</t>
  </si>
  <si>
    <t>SODARISE INC</t>
  </si>
  <si>
    <t>2026-02-19 08:11:00</t>
  </si>
  <si>
    <t>2026-02-27 18:09:28</t>
  </si>
  <si>
    <t>SHANGHAI FLYING FISH SUPPLY CHAIN TECHNOLOGY CO.,L</t>
  </si>
  <si>
    <t>2026-02-26 10:38:00</t>
  </si>
  <si>
    <t>MAEU277629066</t>
  </si>
  <si>
    <t>已到中转港</t>
  </si>
  <si>
    <t>264862233</t>
  </si>
  <si>
    <t>天津新港</t>
  </si>
  <si>
    <t>宁波天图翼联物流科技有限公司</t>
  </si>
  <si>
    <t>2026-03-07 08:00:00</t>
  </si>
  <si>
    <t>2026-01-15 00:00:00</t>
  </si>
  <si>
    <t>全部传递</t>
  </si>
  <si>
    <t>釜山</t>
  </si>
  <si>
    <t>2026-01-18 13:44:00</t>
  </si>
  <si>
    <t>2026-03-12 23:59:59</t>
  </si>
  <si>
    <t>2026-03-11 12:00:00</t>
  </si>
  <si>
    <t>2026-03-12 12:00:00</t>
  </si>
  <si>
    <t>2026-03-13 00:00:00</t>
  </si>
  <si>
    <t>2026-03-20 23:59:59</t>
  </si>
  <si>
    <t>2026-03-16 00:00:00</t>
  </si>
  <si>
    <t>X-PRESS CARINA</t>
  </si>
  <si>
    <t>601W</t>
  </si>
  <si>
    <t>2026-01-06 21:01:39</t>
  </si>
  <si>
    <t>2026-01-15 20:21:06</t>
  </si>
  <si>
    <t>MAEU264862233</t>
  </si>
  <si>
    <t>2026-01-29 00:00:00</t>
  </si>
  <si>
    <t>已卸船/火车</t>
  </si>
  <si>
    <t>277629065</t>
  </si>
  <si>
    <t>未生成</t>
  </si>
  <si>
    <t>2026-02-19 11:31:00</t>
  </si>
  <si>
    <t>2026-02-27 18:09:49</t>
  </si>
  <si>
    <t>2026-03-04 23:59:59</t>
  </si>
  <si>
    <t>2026-01-11 20:15:41</t>
  </si>
  <si>
    <t>MAEU277629065</t>
  </si>
  <si>
    <t>277629064</t>
  </si>
  <si>
    <t>2026-02-18 23:10:00</t>
  </si>
  <si>
    <t>2026-02-27 19:20:18</t>
  </si>
  <si>
    <t>2025-12-31 21:01:55</t>
  </si>
  <si>
    <t>2026-01-11 20:15:43</t>
  </si>
  <si>
    <t>MAEU277629064</t>
  </si>
  <si>
    <t>263145683</t>
  </si>
  <si>
    <t>丹戎帕拉帕斯</t>
  </si>
  <si>
    <t>SOUTHEAST INTERNATIONAL LOGISTICS MALAYSIA SDN BHD</t>
  </si>
  <si>
    <t>Atlanta warehouse group</t>
  </si>
  <si>
    <t>2026-02-26 04:30:00</t>
  </si>
  <si>
    <t>2026-01-04 00:00:00</t>
  </si>
  <si>
    <t>2026-02-24 23:59:59</t>
  </si>
  <si>
    <t>全部生成</t>
  </si>
  <si>
    <t>2026-02-23 19:48:29</t>
  </si>
  <si>
    <t>上海</t>
  </si>
  <si>
    <t>2026-01-11 01:09:00</t>
  </si>
  <si>
    <t>2026-02-26 04:15:00</t>
  </si>
  <si>
    <t>2026-02-26 14:09:00</t>
  </si>
  <si>
    <t>GARDEN CITY MARINE TERMINAL</t>
  </si>
  <si>
    <t>2026-03-05 23:59:59</t>
  </si>
  <si>
    <t>Portguys Logistics Llc</t>
  </si>
  <si>
    <t>AOSOM GA-1</t>
  </si>
  <si>
    <t>2026-03-03 23:59:59</t>
  </si>
  <si>
    <t>2026-03-06 23:59:59</t>
  </si>
  <si>
    <t>TRANCURA</t>
  </si>
  <si>
    <t>550N</t>
  </si>
  <si>
    <t>2026-02-23 21:01:46</t>
  </si>
  <si>
    <t>MAEU263145683</t>
  </si>
  <si>
    <t>2026-01-13 00:00:00</t>
  </si>
  <si>
    <t>常规</t>
  </si>
  <si>
    <t>181AY0263395881A1</t>
  </si>
  <si>
    <t>MSC</t>
  </si>
  <si>
    <t>盐田</t>
  </si>
  <si>
    <t>Los warehouse group</t>
  </si>
  <si>
    <t>2026-02-22 16:00:00</t>
  </si>
  <si>
    <t>2026-01-24 00:00:00</t>
  </si>
  <si>
    <t>2026-02-13 20:12:07</t>
  </si>
  <si>
    <t>2026-02-22 12:01:14</t>
  </si>
  <si>
    <t>LONG BEACH PIER T TERMINAL</t>
  </si>
  <si>
    <t>2026-02-27 18:00:26</t>
  </si>
  <si>
    <t>AOSOM CA-1</t>
  </si>
  <si>
    <t>2026-03-19 23:59:59</t>
  </si>
  <si>
    <t>2026-02-25 00:00:00</t>
  </si>
  <si>
    <t>MSC TANZANIA</t>
  </si>
  <si>
    <t>FV603N</t>
  </si>
  <si>
    <t>2026-01-20 21:02:02</t>
  </si>
  <si>
    <t>2026-01-24 20:03:20</t>
  </si>
  <si>
    <t>MEDUYM944201</t>
  </si>
  <si>
    <t>MEDU</t>
  </si>
  <si>
    <t>2026-02-04 00:00:00</t>
  </si>
  <si>
    <t>已到目的港</t>
  </si>
  <si>
    <t>181AY0253379936A1</t>
  </si>
  <si>
    <t>2026-01-05 00:00:00</t>
  </si>
  <si>
    <t>2026-02-18 23:59:59</t>
  </si>
  <si>
    <t>2026-02-24 17:32:04</t>
  </si>
  <si>
    <t>LFT TRANSPORTATION INC</t>
  </si>
  <si>
    <t>2026-02-26 23:59:59</t>
  </si>
  <si>
    <t>2026-03-11 23:59:59</t>
  </si>
  <si>
    <t>2026-02-28 23:59:59</t>
  </si>
  <si>
    <t>ZIM MOUNT VINSON</t>
  </si>
  <si>
    <t>8E</t>
  </si>
  <si>
    <t>未申报</t>
  </si>
  <si>
    <t>2026-01-04 21:01:50</t>
  </si>
  <si>
    <t>2026-01-06 20:26:31</t>
  </si>
  <si>
    <t>MEDUYM511174</t>
  </si>
  <si>
    <t>265105671</t>
  </si>
  <si>
    <t>2026-03-02 07:00:00</t>
  </si>
  <si>
    <t>2026-01-20 00:00:00</t>
  </si>
  <si>
    <t>2026-03-05 12:00:00</t>
  </si>
  <si>
    <t>2026-03-06 12:00:00</t>
  </si>
  <si>
    <t>2026-03-06 00:00:00</t>
  </si>
  <si>
    <t>2026-03-16 23:59:59</t>
  </si>
  <si>
    <t>2026-03-09 00:00:00</t>
  </si>
  <si>
    <t>ANTWERPEN EXPRESS</t>
  </si>
  <si>
    <t>604E</t>
  </si>
  <si>
    <t>2026-01-16 21:02:33</t>
  </si>
  <si>
    <t>2026-01-20 19:58:27</t>
  </si>
  <si>
    <t>MAEU265105671</t>
  </si>
  <si>
    <t>2026-01-21 00:00:00</t>
  </si>
  <si>
    <t>已完成</t>
  </si>
  <si>
    <t>已还箱</t>
  </si>
  <si>
    <t>181AY0253385374A1</t>
  </si>
  <si>
    <t>2026-02-12 00:00:00</t>
  </si>
  <si>
    <t>2026-01-03 00:00:00</t>
  </si>
  <si>
    <t>2026-01-30 23:59:59</t>
  </si>
  <si>
    <t>2026-02-12 16:49:10</t>
  </si>
  <si>
    <t>PORT NEWARK CONTAINER TERMINAL</t>
  </si>
  <si>
    <t>2026-02-19 05:40:14</t>
  </si>
  <si>
    <t>2026-02-15 21:10:35</t>
  </si>
  <si>
    <t>2026-02-17 00:00:00</t>
  </si>
  <si>
    <t>2026-02-16 21:10:35</t>
  </si>
  <si>
    <t>2026-02-18 00:00:00</t>
  </si>
  <si>
    <t>2026-02-19 00:00:00</t>
  </si>
  <si>
    <t>PUSAN C</t>
  </si>
  <si>
    <t>GU552W</t>
  </si>
  <si>
    <t>2025-12-27 21:01:58</t>
  </si>
  <si>
    <t>2026-01-03 20:13:17</t>
  </si>
  <si>
    <t>MEDUYM653406</t>
  </si>
  <si>
    <t>WMS已完成</t>
  </si>
  <si>
    <t>已入库</t>
  </si>
  <si>
    <t>2026-02-18 11:33:41</t>
  </si>
  <si>
    <t>181AY0253385444A1</t>
  </si>
  <si>
    <t>2026-01-08 00:00:00</t>
  </si>
  <si>
    <t>2026-01-22 13:39:14</t>
  </si>
  <si>
    <t>2026-03-08 00:00:00</t>
  </si>
  <si>
    <t>2026-03-30 23:59:59</t>
  </si>
  <si>
    <t>MSC RACHELE</t>
  </si>
  <si>
    <t>GU601W</t>
  </si>
  <si>
    <t>2026-01-04 21:01:51</t>
  </si>
  <si>
    <t>2026-01-08 20:20:30</t>
  </si>
  <si>
    <t>MEDUYM654883</t>
  </si>
  <si>
    <t>277629037</t>
  </si>
  <si>
    <t>2026-02-13 20:01:55</t>
  </si>
  <si>
    <t>2026-02-19 07:23:00</t>
  </si>
  <si>
    <t>2026-02-27 18:05:58</t>
  </si>
  <si>
    <t>2026-02-26 00:00:00</t>
  </si>
  <si>
    <t>2026-01-11 20:16:21</t>
  </si>
  <si>
    <t>MAEU277629037</t>
  </si>
  <si>
    <t>277629063</t>
  </si>
  <si>
    <t>2026-02-13 20:01:09</t>
  </si>
  <si>
    <t>2026-02-19 20:00:00</t>
  </si>
  <si>
    <t>2026-02-27 18:09:02</t>
  </si>
  <si>
    <t>MAEU277629063</t>
  </si>
  <si>
    <t>277629062</t>
  </si>
  <si>
    <t>2026-02-13 20:01:10</t>
  </si>
  <si>
    <t>2026-02-19 08:19:00</t>
  </si>
  <si>
    <t>2026-02-27 18:08:45</t>
  </si>
  <si>
    <t>2026-02-26 11:12:00</t>
  </si>
  <si>
    <t>2026-01-11 20:15:44</t>
  </si>
  <si>
    <t>MAEU277629062</t>
  </si>
  <si>
    <t>277629008</t>
  </si>
  <si>
    <t>2026-02-06 20:00:00</t>
  </si>
  <si>
    <t>2026-01-02 00:00:00</t>
  </si>
  <si>
    <t>2026-02-03 23:59:59</t>
  </si>
  <si>
    <t>2026-02-13 19:57:38</t>
  </si>
  <si>
    <t>2026-02-05 11:10:00</t>
  </si>
  <si>
    <t>2026-02-06 14:18:00</t>
  </si>
  <si>
    <t>2026-02-13 23:59:59</t>
  </si>
  <si>
    <t>2026-02-15 15:39:17</t>
  </si>
  <si>
    <t>2026-02-10 16:39:35</t>
  </si>
  <si>
    <t>2026-02-11 16:39:35</t>
  </si>
  <si>
    <t>2026-02-12 05:37:00</t>
  </si>
  <si>
    <t>2026-02-19 23:59:59</t>
  </si>
  <si>
    <t>2026-02-13 05:37:00</t>
  </si>
  <si>
    <t>2026-02-13 08:52:00</t>
  </si>
  <si>
    <t>2026-02-15 16:00:16</t>
  </si>
  <si>
    <t>MAERSK SINGAPORE</t>
  </si>
  <si>
    <t>552E</t>
  </si>
  <si>
    <t>2025-12-23 09:22:45</t>
  </si>
  <si>
    <t>2026-01-03 02:14:45</t>
  </si>
  <si>
    <t>MAEU277629008</t>
  </si>
  <si>
    <t>2026-02-15 13:10:33</t>
  </si>
  <si>
    <t>277629005</t>
  </si>
  <si>
    <t>2026-02-13 19:57:39</t>
  </si>
  <si>
    <t>2026-02-05 22:22:00</t>
  </si>
  <si>
    <t>2026-02-12 23:59:59</t>
  </si>
  <si>
    <t>2026-02-12 07:39:18</t>
  </si>
  <si>
    <t>2026-02-07 12:42:00</t>
  </si>
  <si>
    <t>2026-02-08 12:42:00</t>
  </si>
  <si>
    <t>2026-02-11 05:37:00</t>
  </si>
  <si>
    <t>2026-02-12 07:24:00</t>
  </si>
  <si>
    <t>2026-01-03 02:14:46</t>
  </si>
  <si>
    <t>MAEU277629005</t>
  </si>
  <si>
    <t>2026-02-12 04:18:14</t>
  </si>
  <si>
    <t>277629004</t>
  </si>
  <si>
    <t>2026-02-13 19:56:29</t>
  </si>
  <si>
    <t>2026-02-06 01:37:00</t>
  </si>
  <si>
    <t>2026-02-11 12:39:04</t>
  </si>
  <si>
    <t>2026-02-07 11:00:00</t>
  </si>
  <si>
    <t>2026-02-08 11:00:00</t>
  </si>
  <si>
    <t>2026-02-12 05:42:00</t>
  </si>
  <si>
    <t>2026-02-11 12:00:15</t>
  </si>
  <si>
    <t>2025-12-22 21:01:58</t>
  </si>
  <si>
    <t>2026-01-03 02:13:55</t>
  </si>
  <si>
    <t>MAEU277629004</t>
  </si>
  <si>
    <t>2026-02-11 10:27:29</t>
  </si>
  <si>
    <t>177QZJZJS109687</t>
  </si>
  <si>
    <t>宁波外运国际货运代理有限公司</t>
  </si>
  <si>
    <t>2026-02-03 16:00:00</t>
  </si>
  <si>
    <t>2026-01-28 23:59:59</t>
  </si>
  <si>
    <t>2026-02-13 20:04:37</t>
  </si>
  <si>
    <t>2026-02-03 14:52:02</t>
  </si>
  <si>
    <t>2026-02-06 00:00:00</t>
  </si>
  <si>
    <t>TOTAL TERMINALS INTERNATIONAL (PIER T)</t>
  </si>
  <si>
    <t>2026-02-13 14:38:57</t>
  </si>
  <si>
    <t>2026-02-09 00:00:00</t>
  </si>
  <si>
    <t>2026-02-11 00:00:00</t>
  </si>
  <si>
    <t>2026-02-10 00:00:00</t>
  </si>
  <si>
    <t>CIF</t>
  </si>
  <si>
    <t>MSC GAIA</t>
  </si>
  <si>
    <t>GO601N</t>
  </si>
  <si>
    <t>2026-01-05 21:01:55</t>
  </si>
  <si>
    <t>2026-01-09 20:22:48</t>
  </si>
  <si>
    <t>MEDUW7698550</t>
  </si>
  <si>
    <t>2026-02-13 09:02:03</t>
  </si>
  <si>
    <t>264862165</t>
  </si>
  <si>
    <t>青岛</t>
  </si>
  <si>
    <t>2026-02-21 06:00:00</t>
  </si>
  <si>
    <t>2026-02-04 23:59:59</t>
  </si>
  <si>
    <t>2026-01-06 22:38:00</t>
  </si>
  <si>
    <t>2026-02-21 07:08:00</t>
  </si>
  <si>
    <t>2026-02-21 08:58:00</t>
  </si>
  <si>
    <t>2026-02-27 16:55:48</t>
  </si>
  <si>
    <t>2026-02-25 12:00:00</t>
  </si>
  <si>
    <t>2026-02-26 12:00:00</t>
  </si>
  <si>
    <t>2026-02-27 00:00:00</t>
  </si>
  <si>
    <t>2026-03-02 00:00:00</t>
  </si>
  <si>
    <t>GUNDE MAERSK</t>
  </si>
  <si>
    <t>601E</t>
  </si>
  <si>
    <t>2026-01-04 20:22:24</t>
  </si>
  <si>
    <t>MAEU264862165</t>
  </si>
  <si>
    <t>2026-01-12 00:00:00</t>
  </si>
  <si>
    <t>263704967</t>
  </si>
  <si>
    <t>厦门港</t>
  </si>
  <si>
    <t>2026-03-28 08:00:00</t>
  </si>
  <si>
    <t>2026-01-27 12:29:00</t>
  </si>
  <si>
    <t>2026-04-02 23:59:59</t>
  </si>
  <si>
    <t>2026-04-08 23:59:59</t>
  </si>
  <si>
    <t>SYNERGY KEELUNG</t>
  </si>
  <si>
    <t>603N</t>
  </si>
  <si>
    <t>2026-01-24 20:03:21</t>
  </si>
  <si>
    <t>MAEU263704967</t>
  </si>
  <si>
    <t>2026-02-02 00:00:00</t>
  </si>
  <si>
    <t>262777253</t>
  </si>
  <si>
    <t>2026-02-13 19:59:09</t>
  </si>
  <si>
    <t>2026-01-06 15:22:00</t>
  </si>
  <si>
    <t>2026-02-21 10:48:00</t>
  </si>
  <si>
    <t>2026-02-27 16:51:55</t>
  </si>
  <si>
    <t>SYNERGY BUSAN</t>
  </si>
  <si>
    <t>552N</t>
  </si>
  <si>
    <t>2025-12-25 21:01:39</t>
  </si>
  <si>
    <t>2026-01-03 20:12:55</t>
  </si>
  <si>
    <t>MAEU262777253</t>
  </si>
  <si>
    <t>1811F026PE20135E1</t>
  </si>
  <si>
    <t>福州</t>
  </si>
  <si>
    <t>2026-01-01 00:00:00</t>
  </si>
  <si>
    <t>2026-02-13 20:00:31</t>
  </si>
  <si>
    <t>2026-01-23 07:00:00</t>
  </si>
  <si>
    <t>MSC MAKALU III</t>
  </si>
  <si>
    <t>HD601A</t>
  </si>
  <si>
    <t>2025-12-29 21:01:36</t>
  </si>
  <si>
    <t>2026-01-03 02:22:33</t>
  </si>
  <si>
    <t>MEDUF3542794</t>
  </si>
  <si>
    <t>1811F026PE20238E1</t>
  </si>
  <si>
    <t>2026-01-31 08:28:08</t>
  </si>
  <si>
    <t>2026-04-03 23:59:59</t>
  </si>
  <si>
    <t>MSC MANU</t>
  </si>
  <si>
    <t>HD602A</t>
  </si>
  <si>
    <t>2026-01-05 21:01:56</t>
  </si>
  <si>
    <t>2026-01-09 20:22:49</t>
  </si>
  <si>
    <t>MEDUF3544246</t>
  </si>
  <si>
    <t>1811F026PE20140E1</t>
  </si>
  <si>
    <t>2026-03-15 00:00:00</t>
  </si>
  <si>
    <t>2026-02-07 08:01:51</t>
  </si>
  <si>
    <t>2026-03-18 12:00:00</t>
  </si>
  <si>
    <t>2026-03-19 12:00:00</t>
  </si>
  <si>
    <t>2026-03-18 00:00:00</t>
  </si>
  <si>
    <t>2026-04-10 23:59:59</t>
  </si>
  <si>
    <t>2026-03-19 00:00:00</t>
  </si>
  <si>
    <t>XIN BIN ZHOU</t>
  </si>
  <si>
    <t>HD603A</t>
  </si>
  <si>
    <t>2026-01-12 21:02:03</t>
  </si>
  <si>
    <t>2026-01-20 19:52:24</t>
  </si>
  <si>
    <t>MEDUF3542885</t>
  </si>
  <si>
    <t>Y</t>
  </si>
  <si>
    <t>1811F026PE21064E1</t>
  </si>
  <si>
    <t>2026-01-25 00:00:00</t>
  </si>
  <si>
    <t>2026-02-12 16:55:30</t>
  </si>
  <si>
    <t>MSC TIGER III</t>
  </si>
  <si>
    <t>HD604A</t>
  </si>
  <si>
    <t>2026-01-19 21:02:11</t>
  </si>
  <si>
    <t>2026-01-25 19:59:41</t>
  </si>
  <si>
    <t>MEDUF3557842</t>
  </si>
  <si>
    <t>2026-02-15 00:00:00</t>
  </si>
  <si>
    <t>277629003</t>
  </si>
  <si>
    <t>2026-02-13 19:56:31</t>
  </si>
  <si>
    <t>2026-02-06 11:04:00</t>
  </si>
  <si>
    <t>2026-02-16 06:39:21</t>
  </si>
  <si>
    <t>2026-02-11 17:53:57</t>
  </si>
  <si>
    <t>2026-02-13 16:44:56</t>
  </si>
  <si>
    <t>2026-02-20 23:59:59</t>
  </si>
  <si>
    <t>2026-02-14 16:44:56</t>
  </si>
  <si>
    <t>2026-02-16 07:56:00</t>
  </si>
  <si>
    <t>2025-12-22 21:01:59</t>
  </si>
  <si>
    <t>MAEU277629003</t>
  </si>
  <si>
    <t>2026-02-16 04:26:21</t>
  </si>
  <si>
    <t>177PZJZJS110062</t>
  </si>
  <si>
    <t>2026-03-04 00:00:00</t>
  </si>
  <si>
    <t>2026-01-28 00:00:00</t>
  </si>
  <si>
    <t>MSC SUAPE VII</t>
  </si>
  <si>
    <t>GE603E</t>
  </si>
  <si>
    <t>2026-01-20 21:02:03</t>
  </si>
  <si>
    <t>2026-01-28 19:59:12</t>
  </si>
  <si>
    <t>MEDUWK151340</t>
  </si>
  <si>
    <t>2026-01-27 00:00:00</t>
  </si>
  <si>
    <t>264862107</t>
  </si>
  <si>
    <t>2026-02-04 08:00:00</t>
  </si>
  <si>
    <t>2026-02-01 23:59:59</t>
  </si>
  <si>
    <t>2026-02-13 20:01:11</t>
  </si>
  <si>
    <t>2026-02-04 07:06:00</t>
  </si>
  <si>
    <t>2026-02-04 18:38:00</t>
  </si>
  <si>
    <t>APM TERMINALS LOS ANGELES PIER 400</t>
  </si>
  <si>
    <t>2026-02-09 23:59:59</t>
  </si>
  <si>
    <t>2026-02-10 11:39:15</t>
  </si>
  <si>
    <t>2026-02-05 00:00:00</t>
  </si>
  <si>
    <t>2026-02-06 22:45:00</t>
  </si>
  <si>
    <t>2026-02-17 23:59:59</t>
  </si>
  <si>
    <t>2026-02-11 13:41:00</t>
  </si>
  <si>
    <t>MAERSK ALTAIR</t>
  </si>
  <si>
    <t>2025-12-31 21:01:56</t>
  </si>
  <si>
    <t>MAEU264862107</t>
  </si>
  <si>
    <t>2026-02-10 09:43:05</t>
  </si>
  <si>
    <t>177PZJZJS109689</t>
  </si>
  <si>
    <t>是</t>
  </si>
  <si>
    <t>2026-02-16 00:00:00</t>
  </si>
  <si>
    <t>2026-02-11 23:59:59</t>
  </si>
  <si>
    <t>湖州,浙江</t>
  </si>
  <si>
    <t>2026-02-15 08:14:10</t>
  </si>
  <si>
    <t>2026-02-23 23:59:59</t>
  </si>
  <si>
    <t>2026-02-20 00:00:00</t>
  </si>
  <si>
    <t>2026-03-17 23:59:59</t>
  </si>
  <si>
    <t>2026-02-25 23:59:59</t>
  </si>
  <si>
    <t>ZIM MOUNT EVEREST</t>
  </si>
  <si>
    <t>12E</t>
  </si>
  <si>
    <t>2026-01-08 20:20:31</t>
  </si>
  <si>
    <t>MEDUW7699335</t>
  </si>
  <si>
    <t>2026-01-07 00:00:00</t>
  </si>
  <si>
    <t>181AY0263395876A1</t>
  </si>
  <si>
    <t>2026-03-05 00:00:00</t>
  </si>
  <si>
    <t>2026-01-22 00:00:00</t>
  </si>
  <si>
    <t>2026-03-10 23:59:59</t>
  </si>
  <si>
    <t>2026-03-10 12:00:00</t>
  </si>
  <si>
    <t>2026-03-12 00:00:00</t>
  </si>
  <si>
    <t>C HAMBURG</t>
  </si>
  <si>
    <t>GU603W</t>
  </si>
  <si>
    <t>2026-01-16 21:02:34</t>
  </si>
  <si>
    <t>2026-01-22 19:57:05</t>
  </si>
  <si>
    <t>MEDUYM944136</t>
  </si>
  <si>
    <t>277629002</t>
  </si>
  <si>
    <t>2026-01-21 10:00:00</t>
  </si>
  <si>
    <t>2026-01-18 23:59:59</t>
  </si>
  <si>
    <t>2026-02-13 11:30:20</t>
  </si>
  <si>
    <t>2026-01-20 15:07:00</t>
  </si>
  <si>
    <t>2026-01-22 01:38:00</t>
  </si>
  <si>
    <t>2026-01-26 23:59:59</t>
  </si>
  <si>
    <t>2026-01-30 12:39:37</t>
  </si>
  <si>
    <t>2026-01-26 00:00:00</t>
  </si>
  <si>
    <t>2026-01-26 20:26:00</t>
  </si>
  <si>
    <t>2026-01-30 19:25:00</t>
  </si>
  <si>
    <t>HUDSON EXPRESS</t>
  </si>
  <si>
    <t>2025-12-27 21:02:03</t>
  </si>
  <si>
    <t>2026-01-05 20:16:23</t>
  </si>
  <si>
    <t>MAEU277629002</t>
  </si>
  <si>
    <t>2026-01-30 10:33:14</t>
  </si>
  <si>
    <t>2026-01-06 00:00:00</t>
  </si>
  <si>
    <t>277629001</t>
  </si>
  <si>
    <t>2026-02-13 19:59:30</t>
  </si>
  <si>
    <t>2026-01-22 21:32:00</t>
  </si>
  <si>
    <t>2026-01-27 23:59:59</t>
  </si>
  <si>
    <t>2026-01-28 21:39:33</t>
  </si>
  <si>
    <t>2026-01-26 09:28:00</t>
  </si>
  <si>
    <t>2026-01-27 13:44:00</t>
  </si>
  <si>
    <t>2025-12-27 21:02:04</t>
  </si>
  <si>
    <t>2026-01-05 20:16:24</t>
  </si>
  <si>
    <t>MAEU277629001</t>
  </si>
  <si>
    <t>2026-01-27 13:05:44</t>
  </si>
  <si>
    <t>277629000</t>
  </si>
  <si>
    <t>2026-01-21 15:29:00</t>
  </si>
  <si>
    <t>2026-01-28 21:39:31</t>
  </si>
  <si>
    <t>2026-01-25 13:30:00</t>
  </si>
  <si>
    <t>2026-01-28 07:33:00</t>
  </si>
  <si>
    <t>MAEU277629000</t>
  </si>
  <si>
    <t>2026-01-28 11:40:45</t>
  </si>
  <si>
    <t>177QZJZJS109572</t>
  </si>
  <si>
    <t>2026-01-20 23:59:59</t>
  </si>
  <si>
    <t>2026-02-13 19:59:32</t>
  </si>
  <si>
    <t>2026-01-25 03:11:00</t>
  </si>
  <si>
    <t>2026-01-29 23:59:59</t>
  </si>
  <si>
    <t>2026-02-06 08:09:27</t>
  </si>
  <si>
    <t>MSC LUCIANA</t>
  </si>
  <si>
    <t>GO552N</t>
  </si>
  <si>
    <t>2026-01-08 20:13:32</t>
  </si>
  <si>
    <t>MEDUW7519301</t>
  </si>
  <si>
    <t>2026-02-05 13:33:47</t>
  </si>
  <si>
    <t>262759884</t>
  </si>
  <si>
    <t>2026-02-11 08:00:00</t>
  </si>
  <si>
    <t>2026-02-08 23:59:59</t>
  </si>
  <si>
    <t>2026-02-13 19:59:10</t>
  </si>
  <si>
    <t>2026-01-06 15:54:00</t>
  </si>
  <si>
    <t>2026-02-11 04:53:00</t>
  </si>
  <si>
    <t>2026-02-11 18:10:00</t>
  </si>
  <si>
    <t>2026-02-16 23:59:59</t>
  </si>
  <si>
    <t>2026-02-17 12:08:54</t>
  </si>
  <si>
    <t>2026-02-15 07:41:00</t>
  </si>
  <si>
    <t>2026-02-13 00:00:00</t>
  </si>
  <si>
    <t>2026-02-18 15:20:00</t>
  </si>
  <si>
    <t>2025-12-25 21:01:40</t>
  </si>
  <si>
    <t>2026-01-03 20:12:56</t>
  </si>
  <si>
    <t>MAEU262759884</t>
  </si>
  <si>
    <t>2026-02-16 14:19:48</t>
  </si>
  <si>
    <t>262760130</t>
  </si>
  <si>
    <t>2026-02-13 19:59:11</t>
  </si>
  <si>
    <t>2026-01-06 19:11:00</t>
  </si>
  <si>
    <t>2026-02-11 11:37:00</t>
  </si>
  <si>
    <t>2026-02-17 12:09:05</t>
  </si>
  <si>
    <t>2026-02-15 13:25:00</t>
  </si>
  <si>
    <t>2026-02-18 07:29:00</t>
  </si>
  <si>
    <t>MAEU262760130</t>
  </si>
  <si>
    <t>2026-02-17 08:12:14</t>
  </si>
  <si>
    <t>263605203</t>
  </si>
  <si>
    <t>2026-01-17 00:00:00</t>
  </si>
  <si>
    <t>2026-02-15 23:59:59</t>
  </si>
  <si>
    <t>2026-02-13 20:08:07</t>
  </si>
  <si>
    <t>2026-01-20 03:45:00</t>
  </si>
  <si>
    <t>2026-02-19 08:00:00</t>
  </si>
  <si>
    <t>2026-02-23 20:21:00</t>
  </si>
  <si>
    <t>LSA APM TERMINAL PIER 400( W185 )</t>
  </si>
  <si>
    <t>2026-02-27 18:04:28</t>
  </si>
  <si>
    <t>NAVIOS JASMINE</t>
  </si>
  <si>
    <t>602N</t>
  </si>
  <si>
    <t>2026-01-13 21:02:11</t>
  </si>
  <si>
    <t>2026-01-18 19:53:35</t>
  </si>
  <si>
    <t>MAEU263605203</t>
  </si>
  <si>
    <t>263851550</t>
  </si>
  <si>
    <t>2026-03-12 19:00:00</t>
  </si>
  <si>
    <t>2026-01-31 00:00:00</t>
  </si>
  <si>
    <t>2026-02-02 10:19:00</t>
  </si>
  <si>
    <t>2026-03-23 23:59:59</t>
  </si>
  <si>
    <t>604N</t>
  </si>
  <si>
    <t>2026-01-27 21:02:11</t>
  </si>
  <si>
    <t>2026-01-31 20:03:53</t>
  </si>
  <si>
    <t>MAEU263851550</t>
  </si>
  <si>
    <t>2026-03-01 00:00:00</t>
  </si>
  <si>
    <t>263851467</t>
  </si>
  <si>
    <t>2026-03-19 19:00:00</t>
  </si>
  <si>
    <t>2026-02-02 14:10:00</t>
  </si>
  <si>
    <t>2026-03-24 23:59:59</t>
  </si>
  <si>
    <t>2026-01-27 21:02:10</t>
  </si>
  <si>
    <t>2026-01-31 20:03:52</t>
  </si>
  <si>
    <t>MAEU263851467</t>
  </si>
  <si>
    <t>263605193</t>
  </si>
  <si>
    <t>2026-01-20 03:52:00</t>
  </si>
  <si>
    <t>2026-02-20 01:09:00</t>
  </si>
  <si>
    <t>2026-02-24 17:42:02</t>
  </si>
  <si>
    <t>2026-02-26 12:48:00</t>
  </si>
  <si>
    <t>2026-01-17 19:53:28</t>
  </si>
  <si>
    <t>MAEU263605193</t>
  </si>
  <si>
    <t>263605164</t>
  </si>
  <si>
    <t>2026-01-10 00:00:00</t>
  </si>
  <si>
    <t>2026-02-13 20:05:30</t>
  </si>
  <si>
    <t>2026-01-13 08:51:00</t>
  </si>
  <si>
    <t>2026-02-19 19:07:00</t>
  </si>
  <si>
    <t>2026-02-26 14:39:15</t>
  </si>
  <si>
    <t>2026-02-23 19:37:00</t>
  </si>
  <si>
    <t>2026-02-26 07:39:00</t>
  </si>
  <si>
    <t>UTE</t>
  </si>
  <si>
    <t>601N</t>
  </si>
  <si>
    <t>2026-01-07 21:01:49</t>
  </si>
  <si>
    <t>2026-01-11 20:24:20</t>
  </si>
  <si>
    <t>MAEU263605164</t>
  </si>
  <si>
    <t>2026-02-26 08:27:58</t>
  </si>
  <si>
    <t>265125075</t>
  </si>
  <si>
    <t>2026-03-12 08:00:00</t>
  </si>
  <si>
    <t>2026-02-02 11:07:00</t>
  </si>
  <si>
    <t>2026-01-27 21:02:13</t>
  </si>
  <si>
    <t>2026-02-01 20:03:42</t>
  </si>
  <si>
    <t>MAEU265125075</t>
  </si>
  <si>
    <t>263705145</t>
  </si>
  <si>
    <t>2026-03-06 07:00:00</t>
  </si>
  <si>
    <t>2026-01-27 09:12:00</t>
  </si>
  <si>
    <t>2026-01-24 20:03:22</t>
  </si>
  <si>
    <t>MAEU263705145</t>
  </si>
  <si>
    <t>2026-02-22 00:00:00</t>
  </si>
  <si>
    <t>263705100</t>
  </si>
  <si>
    <t>2026-01-27 10:00:00</t>
  </si>
  <si>
    <t>MAEU263705100</t>
  </si>
  <si>
    <t>263605070</t>
  </si>
  <si>
    <t>2026-02-13 17:44:31</t>
  </si>
  <si>
    <t>2026-01-19 22:59:00</t>
  </si>
  <si>
    <t>2026-03-07 23:59:59</t>
  </si>
  <si>
    <t>2026-01-13 21:02:12</t>
  </si>
  <si>
    <t>2026-01-17 19:53:29</t>
  </si>
  <si>
    <t>MAEU263605070</t>
  </si>
  <si>
    <t>263605111</t>
  </si>
  <si>
    <t>2026-02-13 17:44:16</t>
  </si>
  <si>
    <t>2026-01-19 19:49:00</t>
  </si>
  <si>
    <t>2026-01-14 21:02:18</t>
  </si>
  <si>
    <t>2026-01-18 19:54:20</t>
  </si>
  <si>
    <t>MAEU263605111</t>
  </si>
  <si>
    <t>265255043</t>
  </si>
  <si>
    <t>2026-02-02 16:34:00</t>
  </si>
  <si>
    <t>2026-02-01 20:03:41</t>
  </si>
  <si>
    <t>MAEU265255043</t>
  </si>
  <si>
    <t>177PZJZJS109688</t>
  </si>
  <si>
    <t>2026-02-14 00:00:00</t>
  </si>
  <si>
    <t>2026-01-09 00:00:00</t>
  </si>
  <si>
    <t>2026-02-13 20:04:11</t>
  </si>
  <si>
    <t>2026-01-09 07:00:00</t>
  </si>
  <si>
    <t>2026-02-15 21:42:39</t>
  </si>
  <si>
    <t>ROTTERDAM</t>
  </si>
  <si>
    <t>84E</t>
  </si>
  <si>
    <t>2026-01-09 20:19:55</t>
  </si>
  <si>
    <t>MEDUW7698741</t>
  </si>
  <si>
    <t>177PWYWYQ21947V</t>
  </si>
  <si>
    <t>2026-02-01 07:00:00</t>
  </si>
  <si>
    <t>2026-03-25 23:59:59</t>
  </si>
  <si>
    <t>MSC AMELIA</t>
  </si>
  <si>
    <t>GJ604W</t>
  </si>
  <si>
    <t>2026-01-22 21:02:04</t>
  </si>
  <si>
    <t>2026-01-28 20:00:06</t>
  </si>
  <si>
    <t>MEDUWA242231</t>
  </si>
  <si>
    <t>2026-02-07 00:00:00</t>
  </si>
  <si>
    <t>263605921</t>
  </si>
  <si>
    <t>XIN MING ZHOU 90</t>
  </si>
  <si>
    <t>26503N</t>
  </si>
  <si>
    <t>2026-01-09 21:26:00</t>
  </si>
  <si>
    <t>2026-01-16 19:53:18</t>
  </si>
  <si>
    <t>MAEU263605921</t>
  </si>
  <si>
    <t>2026-01-30 00:00:00</t>
  </si>
  <si>
    <t>263605907</t>
  </si>
  <si>
    <t>2026-01-14 20:24:57</t>
  </si>
  <si>
    <t>MAEU263605907</t>
  </si>
  <si>
    <t>177PZJZJS109923</t>
  </si>
  <si>
    <t>2026-02-13 17:45:03</t>
  </si>
  <si>
    <t>2026-03-02 12:00:00</t>
  </si>
  <si>
    <t>2026-03-03 12:00:00</t>
  </si>
  <si>
    <t>MSC UBERTY VIII</t>
  </si>
  <si>
    <t>GE602E</t>
  </si>
  <si>
    <t>2026-01-15 20:24:48</t>
  </si>
  <si>
    <t>MEDUW7873575</t>
  </si>
  <si>
    <t>177PZJZJS109922</t>
  </si>
  <si>
    <t>2026-02-13 17:44:50</t>
  </si>
  <si>
    <t>2026-01-09 21:26:01</t>
  </si>
  <si>
    <t>MEDUW7873567</t>
  </si>
  <si>
    <t>NBOZ5N549000</t>
  </si>
  <si>
    <t>HMM</t>
  </si>
  <si>
    <t>2026-02-11 19:20:00</t>
  </si>
  <si>
    <t>2026-02-13 20:01:12</t>
  </si>
  <si>
    <t>乍浦港,平湖,嘉兴,浙江</t>
  </si>
  <si>
    <t>2026-02-10 08:20:00</t>
  </si>
  <si>
    <t>2026-02-11 22:32:00</t>
  </si>
  <si>
    <t>2026-02-20 09:39:07</t>
  </si>
  <si>
    <t>2026-02-16 14:25:00</t>
  </si>
  <si>
    <t>2026-02-14 23:59:59</t>
  </si>
  <si>
    <t>2026-02-20 07:20:00</t>
  </si>
  <si>
    <t>2026-02-20 12:00:17</t>
  </si>
  <si>
    <t>HMM VICTORY</t>
  </si>
  <si>
    <t>0058E</t>
  </si>
  <si>
    <t>2026-01-03 20:21:54</t>
  </si>
  <si>
    <t>HDMU</t>
  </si>
  <si>
    <t>HDMUNBOZ5N549000</t>
  </si>
  <si>
    <t>2026-02-20 07:39:52</t>
  </si>
  <si>
    <t>NBOZ52J52400</t>
  </si>
  <si>
    <t>2026-02-12 18:00:00</t>
  </si>
  <si>
    <t>2026-02-10 23:59:59</t>
  </si>
  <si>
    <t>2026-02-12 06:35:00</t>
  </si>
  <si>
    <t>2026-02-13 10:04:00</t>
  </si>
  <si>
    <t>2026-02-23 10:38:51</t>
  </si>
  <si>
    <t>2026-02-18 15:28:00</t>
  </si>
  <si>
    <t>2026-02-23 15:56:00</t>
  </si>
  <si>
    <t>2026-02-23 12:00:18</t>
  </si>
  <si>
    <t>ONE OWL</t>
  </si>
  <si>
    <t>032E</t>
  </si>
  <si>
    <t>HDMUNBOZ52J52400</t>
  </si>
  <si>
    <t>2026-02-23 08:10:00</t>
  </si>
  <si>
    <t>NBOZ4P422100</t>
  </si>
  <si>
    <t>2026-02-14 04:29:00</t>
  </si>
  <si>
    <t>2026-02-21 23:59:59</t>
  </si>
  <si>
    <t>2026-02-19 14:30:00</t>
  </si>
  <si>
    <t>2026-01-14 20:20:04</t>
  </si>
  <si>
    <t>HDMUNBOZ4P422100</t>
  </si>
  <si>
    <t>NBOZ2WC52800</t>
  </si>
  <si>
    <t>2026-02-13 13:10:00</t>
  </si>
  <si>
    <t>2026-02-24 07:39:23</t>
  </si>
  <si>
    <t>2026-02-24 07:20:00</t>
  </si>
  <si>
    <t>2026-01-09 20:22:50</t>
  </si>
  <si>
    <t>HDMUNBOZ2WC52800</t>
  </si>
  <si>
    <t>2026-02-24 05:13:46</t>
  </si>
  <si>
    <t>181AY0253385449A1</t>
  </si>
  <si>
    <t>2026-02-22 23:59:59</t>
  </si>
  <si>
    <t>2026-03-02 23:59:59</t>
  </si>
  <si>
    <t>2026-03-13 23:59:59</t>
  </si>
  <si>
    <t>ZIM ARIES</t>
  </si>
  <si>
    <t>9E</t>
  </si>
  <si>
    <t>待重新申报</t>
  </si>
  <si>
    <t>2026-01-21 19:57:55</t>
  </si>
  <si>
    <t>MEDUYM654982</t>
  </si>
  <si>
    <t>2026-01-23 00:00:00</t>
  </si>
  <si>
    <t>264862595</t>
  </si>
  <si>
    <t>2026-02-19 23:15:00</t>
  </si>
  <si>
    <t>2026-02-13 20:07:41</t>
  </si>
  <si>
    <t>2026-01-20 21:32:00</t>
  </si>
  <si>
    <t>2026-02-19 22:51:00</t>
  </si>
  <si>
    <t>2026-02-20 13:58:00</t>
  </si>
  <si>
    <t>2026-02-25 08:07:00</t>
  </si>
  <si>
    <t>MAERSK LAVRAS</t>
  </si>
  <si>
    <t>2026-01-12 21:02:04</t>
  </si>
  <si>
    <t>2026-01-16 19:56:02</t>
  </si>
  <si>
    <t>MAEU264862595</t>
  </si>
  <si>
    <t>2026-02-08 00:00:00</t>
  </si>
  <si>
    <t>263066766</t>
  </si>
  <si>
    <t>2026-02-17 07:00:00</t>
  </si>
  <si>
    <t>巴西古单</t>
  </si>
  <si>
    <t>2026-02-17 18:35:00</t>
  </si>
  <si>
    <t>2026-02-18 09:08:00</t>
  </si>
  <si>
    <t>2026-02-23 17:00:53</t>
  </si>
  <si>
    <t>ROME EXPRESS</t>
  </si>
  <si>
    <t>MAEU263066766</t>
  </si>
  <si>
    <t>263351628</t>
  </si>
  <si>
    <t>FFOZY8P35Y</t>
  </si>
  <si>
    <t>MAERSK LOGISTICS &amp; SERVICES VIETNAM COMPANY LIMITED</t>
  </si>
  <si>
    <t>2026-02-16 07:00:00</t>
  </si>
  <si>
    <t>2026-02-13 20:04:36</t>
  </si>
  <si>
    <t>2026-02-16 06:33:00</t>
  </si>
  <si>
    <t>2026-02-16 23:25:00</t>
  </si>
  <si>
    <t>2026-02-22 10:38:54</t>
  </si>
  <si>
    <t>2026-02-19 12:06:00</t>
  </si>
  <si>
    <t>2026-02-20 12:06:00</t>
  </si>
  <si>
    <t>DORTMUND EXPRESS</t>
  </si>
  <si>
    <t>MAEU263351628</t>
  </si>
  <si>
    <t>2026-02-22 05:18:55</t>
  </si>
  <si>
    <t>262766438</t>
  </si>
  <si>
    <t>2026-01-12 16:52:00</t>
  </si>
  <si>
    <t>2025-12-26 21:01:26</t>
  </si>
  <si>
    <t>2026-01-03 20:12:57</t>
  </si>
  <si>
    <t>MAEU262766438</t>
  </si>
  <si>
    <t>177UBQBQN1A794A</t>
  </si>
  <si>
    <t>2026-02-17 16:00:00</t>
  </si>
  <si>
    <t>2026-02-13 20:13:04</t>
  </si>
  <si>
    <t>2026-02-17 04:09:02</t>
  </si>
  <si>
    <t>2026-02-25 12:08:57</t>
  </si>
  <si>
    <t>2026-03-18 23:59:59</t>
  </si>
  <si>
    <t>MSC TRIESTE</t>
  </si>
  <si>
    <t>GO604N</t>
  </si>
  <si>
    <t>2026-01-23 21:02:07</t>
  </si>
  <si>
    <t>2026-01-28 20:02:47</t>
  </si>
  <si>
    <t>MEDUWT372960</t>
  </si>
  <si>
    <t>2026-02-25 08:32:35</t>
  </si>
  <si>
    <t>263670361</t>
  </si>
  <si>
    <t>2026-03-03 18:00:00</t>
  </si>
  <si>
    <t>2026-02-13 20:12:08</t>
  </si>
  <si>
    <t>XIN MING ZHOU 96</t>
  </si>
  <si>
    <t>26504N</t>
  </si>
  <si>
    <t>2026-01-20 21:02:04</t>
  </si>
  <si>
    <t>2026-01-24 20:03:23</t>
  </si>
  <si>
    <t>MAEU263670361</t>
  </si>
  <si>
    <t>263670260</t>
  </si>
  <si>
    <t>2026-02-13 20:12:09</t>
  </si>
  <si>
    <t>MAEU263670260</t>
  </si>
  <si>
    <t>264862418</t>
  </si>
  <si>
    <t>2026-02-26 08:00:00</t>
  </si>
  <si>
    <t>2026-01-26 18:00:00</t>
  </si>
  <si>
    <t>2026-02-26 12:06:00</t>
  </si>
  <si>
    <t>GEORG MAERSK</t>
  </si>
  <si>
    <t>2026-01-26 20:02:30</t>
  </si>
  <si>
    <t>MAEU264862418</t>
  </si>
  <si>
    <t>1811M026PE21055B2</t>
  </si>
  <si>
    <t>2026-02-13 17:34:12</t>
  </si>
  <si>
    <t>厦门,福建</t>
  </si>
  <si>
    <t>TUO YUAN</t>
  </si>
  <si>
    <t>583K</t>
  </si>
  <si>
    <t>2026-01-26 21:02:25</t>
  </si>
  <si>
    <t>2026-01-31 20:01:34</t>
  </si>
  <si>
    <t>MEDUF3557727</t>
  </si>
  <si>
    <t>263605951</t>
  </si>
  <si>
    <t>2026-02-18 10:15:00</t>
  </si>
  <si>
    <t>2026-02-20 02:20:00</t>
  </si>
  <si>
    <t>2026-02-24 17:44:26</t>
  </si>
  <si>
    <t>26502N</t>
  </si>
  <si>
    <t>MAEU263605951</t>
  </si>
  <si>
    <t>263605946</t>
  </si>
  <si>
    <t>2026-02-19 14:56:00</t>
  </si>
  <si>
    <t>2026-02-26 15:39:32</t>
  </si>
  <si>
    <t>2026-02-24 17:45:23</t>
  </si>
  <si>
    <t>2026-01-11 20:24:21</t>
  </si>
  <si>
    <t>MAEU263605946</t>
  </si>
  <si>
    <t>2026-02-26 13:34:45</t>
  </si>
  <si>
    <t>263605937</t>
  </si>
  <si>
    <t>2026-02-20 02:16:00</t>
  </si>
  <si>
    <t>2026-02-24 17:46:38</t>
  </si>
  <si>
    <t>2026-01-07 21:01:50</t>
  </si>
  <si>
    <t>MAEU263605937</t>
  </si>
  <si>
    <t>263605969</t>
  </si>
  <si>
    <t>2026-02-25 23:59:00</t>
  </si>
  <si>
    <t>2026-02-13 20:08:08</t>
  </si>
  <si>
    <t>2026-02-25 21:40:00</t>
  </si>
  <si>
    <t>MAEU263605969</t>
  </si>
  <si>
    <t>263605967</t>
  </si>
  <si>
    <t>2026-02-13 20:08:09</t>
  </si>
  <si>
    <t>2026-01-17 19:53:30</t>
  </si>
  <si>
    <t>MAEU263605967</t>
  </si>
  <si>
    <t>263605961</t>
  </si>
  <si>
    <t>2026-01-13 21:02:13</t>
  </si>
  <si>
    <t>MAEU263605961</t>
  </si>
  <si>
    <t>177WBQBQN0A897A</t>
  </si>
  <si>
    <t>2026-02-20 06:39:14</t>
  </si>
  <si>
    <t>MSC MUMBAI VIII</t>
  </si>
  <si>
    <t>GE601E</t>
  </si>
  <si>
    <t>2026-01-05 21:01:57</t>
  </si>
  <si>
    <t>2026-01-10 20:21:13</t>
  </si>
  <si>
    <t>MEDUKY788581</t>
  </si>
  <si>
    <t>2026-02-19 11:20:49</t>
  </si>
  <si>
    <t>177WBQBQN0A896A</t>
  </si>
  <si>
    <t>2026-02-22 11:39:03</t>
  </si>
  <si>
    <t>2026-02-22 12:00:18</t>
  </si>
  <si>
    <t>MEDUKY788557</t>
  </si>
  <si>
    <t>2026-02-22 06:08:31</t>
  </si>
  <si>
    <t>177WBQBQN0A895A</t>
  </si>
  <si>
    <t>2026-02-25 08:09:10</t>
  </si>
  <si>
    <t>2026-01-10 20:21:14</t>
  </si>
  <si>
    <t>MEDUKY788524</t>
  </si>
  <si>
    <t>2026-02-24 06:47:52</t>
  </si>
  <si>
    <t>177WBQBQN0A894A</t>
  </si>
  <si>
    <t>2026-02-25 05:40:04</t>
  </si>
  <si>
    <t>2026-02-21 00:00:00</t>
  </si>
  <si>
    <t>2026-01-05 21:01:58</t>
  </si>
  <si>
    <t>MEDUKY788482</t>
  </si>
  <si>
    <t>2026-02-24 08:42:20</t>
  </si>
  <si>
    <t>177WBQBQN0A893A</t>
  </si>
  <si>
    <t>2026-02-25 10:09:23</t>
  </si>
  <si>
    <t>2026-01-10 20:21:15</t>
  </si>
  <si>
    <t>MEDUKY788466</t>
  </si>
  <si>
    <t>2026-02-25 04:10:24</t>
  </si>
  <si>
    <t>177WBQBQN0A892A</t>
  </si>
  <si>
    <t>2026-02-25 05:40:07</t>
  </si>
  <si>
    <t>2026-01-10 20:21:24</t>
  </si>
  <si>
    <t>MEDUKY788441</t>
  </si>
  <si>
    <t>2026-02-24 12:30:10</t>
  </si>
  <si>
    <t>263605929</t>
  </si>
  <si>
    <t>2026-01-14 20:24:58</t>
  </si>
  <si>
    <t>MAEU263605929</t>
  </si>
  <si>
    <t>177WBQBQN0A891A</t>
  </si>
  <si>
    <t>2026-02-13 20:10:57</t>
  </si>
  <si>
    <t>2026-02-24 19:01:39</t>
  </si>
  <si>
    <t>GARDEN CITY TERMINAL</t>
  </si>
  <si>
    <t>2026-01-20 19:58:28</t>
  </si>
  <si>
    <t>MEDUKY789209</t>
  </si>
  <si>
    <t>177WBQBQN0A890A</t>
  </si>
  <si>
    <t>2026-03-07 00:00:00</t>
  </si>
  <si>
    <t>2026-01-16 21:02:35</t>
  </si>
  <si>
    <t>MEDUKY789183</t>
  </si>
  <si>
    <t>177WBQBQN0A889A</t>
  </si>
  <si>
    <t>2026-01-21 19:57:56</t>
  </si>
  <si>
    <t>MEDUKY789167</t>
  </si>
  <si>
    <t>177WBQBQN0A888A</t>
  </si>
  <si>
    <t>MEDUKY789142</t>
  </si>
  <si>
    <t>177WBQBQN0A887A</t>
  </si>
  <si>
    <t>2026-01-16 21:02:36</t>
  </si>
  <si>
    <t>2026-01-21 19:57:57</t>
  </si>
  <si>
    <t>MEDUKY789126</t>
  </si>
  <si>
    <t>177WBQBQN0A886A</t>
  </si>
  <si>
    <t>2026-01-17 21:01:57</t>
  </si>
  <si>
    <t>2026-01-21 19:58:58</t>
  </si>
  <si>
    <t>MEDUKY789100</t>
  </si>
  <si>
    <t>177WBQBQN0A885A</t>
  </si>
  <si>
    <t>2026-01-21 19:58:57</t>
  </si>
  <si>
    <t>MEDUKY789084</t>
  </si>
  <si>
    <t>177WBQBQN0A884A</t>
  </si>
  <si>
    <t>MEDUKY789068</t>
  </si>
  <si>
    <t>277629326</t>
  </si>
  <si>
    <t>2026-01-16 00:00:00</t>
  </si>
  <si>
    <t>2026-02-21 04:50:00</t>
  </si>
  <si>
    <t>2026-02-25 13:09:00</t>
  </si>
  <si>
    <t>MAERSK TAIKUNG</t>
  </si>
  <si>
    <t>2026-01-16 19:49:17</t>
  </si>
  <si>
    <t>MAEU277629326</t>
  </si>
  <si>
    <t>277629325</t>
  </si>
  <si>
    <t>2026-02-13 20:04:45</t>
  </si>
  <si>
    <t>2026-02-20 20:00:00</t>
  </si>
  <si>
    <t>2026-02-25 13:29:00</t>
  </si>
  <si>
    <t>2026-01-05 21:01:59</t>
  </si>
  <si>
    <t>2026-01-16 19:49:18</t>
  </si>
  <si>
    <t>MAEU277629325</t>
  </si>
  <si>
    <t>277629330</t>
  </si>
  <si>
    <t>2026-02-13 16:02:34</t>
  </si>
  <si>
    <t>CCNI ARAUCO</t>
  </si>
  <si>
    <t>2026-01-30 19:57:48</t>
  </si>
  <si>
    <t>MAEU277629330</t>
  </si>
  <si>
    <t>277628998</t>
  </si>
  <si>
    <t>2026-02-13 19:59:39</t>
  </si>
  <si>
    <t>2026-01-24 08:56:00</t>
  </si>
  <si>
    <t>2026-02-02 14:09:29</t>
  </si>
  <si>
    <t>2026-01-27 07:28:00</t>
  </si>
  <si>
    <t>2026-02-05 23:59:59</t>
  </si>
  <si>
    <t>2026-02-01 07:39:00</t>
  </si>
  <si>
    <t>2025-12-27 21:02:07</t>
  </si>
  <si>
    <t>2026-01-05 20:16:26</t>
  </si>
  <si>
    <t>MAEU277628998</t>
  </si>
  <si>
    <t>2026-02-02 08:06:13</t>
  </si>
  <si>
    <t>277628997</t>
  </si>
  <si>
    <t>2026-02-13 19:59:40</t>
  </si>
  <si>
    <t>2026-01-23 01:02:00</t>
  </si>
  <si>
    <t>2026-02-02 14:09:30</t>
  </si>
  <si>
    <t>2026-01-27 17:17:04</t>
  </si>
  <si>
    <t>2026-01-30 17:12:00</t>
  </si>
  <si>
    <t>2025-12-27 21:02:08</t>
  </si>
  <si>
    <t>MAEU277628997</t>
  </si>
  <si>
    <t>2026-02-02 10:32:01</t>
  </si>
  <si>
    <t>277629014</t>
  </si>
  <si>
    <t>2026-02-06 04:36:00</t>
  </si>
  <si>
    <t>2026-02-13 08:09:14</t>
  </si>
  <si>
    <t>2026-02-10 08:55:00</t>
  </si>
  <si>
    <t>2026-02-11 08:55:00</t>
  </si>
  <si>
    <t>2026-02-12 15:46:00</t>
  </si>
  <si>
    <t>2025-12-22 21:02:06</t>
  </si>
  <si>
    <t>2026-01-03 02:14:25</t>
  </si>
  <si>
    <t>MAEU277629014</t>
  </si>
  <si>
    <t>2026-02-13 04:36:34</t>
  </si>
  <si>
    <t>277629013</t>
  </si>
  <si>
    <t>2026-02-13 19:57:14</t>
  </si>
  <si>
    <t>2026-02-06 13:27:00</t>
  </si>
  <si>
    <t>2026-02-16 07:39:01</t>
  </si>
  <si>
    <t>2026-02-10 16:40:43</t>
  </si>
  <si>
    <t>2026-02-11 16:40:43</t>
  </si>
  <si>
    <t>2026-02-16 08:51:00</t>
  </si>
  <si>
    <t>MAEU277629013</t>
  </si>
  <si>
    <t>2026-02-16 05:22:34</t>
  </si>
  <si>
    <t>277629012</t>
  </si>
  <si>
    <t>2026-02-06 11:36:00</t>
  </si>
  <si>
    <t>2026-02-13 08:39:36</t>
  </si>
  <si>
    <t>2026-02-10 09:38:00</t>
  </si>
  <si>
    <t>2026-02-11 09:38:00</t>
  </si>
  <si>
    <t>2026-02-16 04:10:00</t>
  </si>
  <si>
    <t>MAEU277629012</t>
  </si>
  <si>
    <t>2026-02-13 04:36:38</t>
  </si>
  <si>
    <t>277629011</t>
  </si>
  <si>
    <t>2026-02-13 19:57:15</t>
  </si>
  <si>
    <t>2026-02-06 04:13:00</t>
  </si>
  <si>
    <t>2026-02-13 09:39:12</t>
  </si>
  <si>
    <t>2026-02-09 08:48:00</t>
  </si>
  <si>
    <t>2026-02-10 08:48:00</t>
  </si>
  <si>
    <t>2026-02-16 04:31:00</t>
  </si>
  <si>
    <t>2026-02-13 12:00:16</t>
  </si>
  <si>
    <t>2026-01-03 02:14:26</t>
  </si>
  <si>
    <t>MAEU277629011</t>
  </si>
  <si>
    <t>2026-02-13 07:20:14</t>
  </si>
  <si>
    <t>277629010</t>
  </si>
  <si>
    <t>2026-02-06 15:27:00</t>
  </si>
  <si>
    <t>2026-02-17 08:39:13</t>
  </si>
  <si>
    <t>2026-02-10 09:14:00</t>
  </si>
  <si>
    <t>2026-02-11 09:14:00</t>
  </si>
  <si>
    <t>2026-02-16 15:08:00</t>
  </si>
  <si>
    <t>2026-02-17 12:00:17</t>
  </si>
  <si>
    <t>2025-12-22 21:02:07</t>
  </si>
  <si>
    <t>MAEU277629010</t>
  </si>
  <si>
    <t>2026-02-17 06:05:48</t>
  </si>
  <si>
    <t>277629020</t>
  </si>
  <si>
    <t>2026-02-15 05:00:00</t>
  </si>
  <si>
    <t>杭州,浙江</t>
  </si>
  <si>
    <t>2026-02-15 05:22:00</t>
  </si>
  <si>
    <t>2026-02-15 13:12:00</t>
  </si>
  <si>
    <t>2026-02-24 07:39:20</t>
  </si>
  <si>
    <t>2026-02-19 07:25:00</t>
  </si>
  <si>
    <t>2026-02-24 16:50:19</t>
  </si>
  <si>
    <t>MAERSK SHAMS</t>
  </si>
  <si>
    <t>2026-01-04 21:01:56</t>
  </si>
  <si>
    <t>2026-01-09 20:20:02</t>
  </si>
  <si>
    <t>MAEU277629020</t>
  </si>
  <si>
    <t>2026-02-24 04:20:13</t>
  </si>
  <si>
    <t>277629019</t>
  </si>
  <si>
    <t>2026-02-16 03:18:00</t>
  </si>
  <si>
    <t>2026-02-20 16:29:00</t>
  </si>
  <si>
    <t>2026-01-04 21:01:47</t>
  </si>
  <si>
    <t>2026-01-09 20:19:50</t>
  </si>
  <si>
    <t>MAEU277629019</t>
  </si>
  <si>
    <t>277629018</t>
  </si>
  <si>
    <t>2026-02-16 03:33:00</t>
  </si>
  <si>
    <t>2026-02-22 13:39:18</t>
  </si>
  <si>
    <t>2026-02-16 15:45:00</t>
  </si>
  <si>
    <t>2026-02-21 13:20:00</t>
  </si>
  <si>
    <t>2026-02-22 16:00:18</t>
  </si>
  <si>
    <t>2026-01-04 21:01:48</t>
  </si>
  <si>
    <t>2026-01-09 20:19:51</t>
  </si>
  <si>
    <t>MAEU277629018</t>
  </si>
  <si>
    <t>2026-02-22 11:43:48</t>
  </si>
  <si>
    <t>277629016</t>
  </si>
  <si>
    <t>2026-02-15 11:11:00</t>
  </si>
  <si>
    <t>2026-02-20 06:39:27</t>
  </si>
  <si>
    <t>2026-02-17 06:11:00</t>
  </si>
  <si>
    <t>2026-02-19 15:46:00</t>
  </si>
  <si>
    <t>2026-02-20 08:00:17</t>
  </si>
  <si>
    <t>2026-01-04 21:01:55</t>
  </si>
  <si>
    <t>2026-01-09 20:20:01</t>
  </si>
  <si>
    <t>MAEU277629016</t>
  </si>
  <si>
    <t>2026-02-20 04:00:29</t>
  </si>
  <si>
    <t>277629015</t>
  </si>
  <si>
    <t>2026-02-15 16:52:00</t>
  </si>
  <si>
    <t>2026-02-22 15:08:47</t>
  </si>
  <si>
    <t>2026-02-17 09:01:00</t>
  </si>
  <si>
    <t>2026-02-24 16:45:57</t>
  </si>
  <si>
    <t>2026-01-05 21:01:54</t>
  </si>
  <si>
    <t>2026-01-09 20:22:45</t>
  </si>
  <si>
    <t>MAEU277629015</t>
  </si>
  <si>
    <t>2026-02-22 13:08:44</t>
  </si>
  <si>
    <t>277629017</t>
  </si>
  <si>
    <t>2026-02-15 16:25:00</t>
  </si>
  <si>
    <t>2026-02-20 08:39:36</t>
  </si>
  <si>
    <t>2026-02-16 15:49:00</t>
  </si>
  <si>
    <t>2026-02-20 05:09:00</t>
  </si>
  <si>
    <t>2026-01-09 20:20:00</t>
  </si>
  <si>
    <t>MAEU277629017</t>
  </si>
  <si>
    <t>2026-02-20 06:28:01</t>
  </si>
  <si>
    <t>277628999</t>
  </si>
  <si>
    <t>2026-02-13 19:59:41</t>
  </si>
  <si>
    <t>2026-01-23 11:41:00</t>
  </si>
  <si>
    <t>2026-02-02 14:38:51</t>
  </si>
  <si>
    <t>2026-01-27 14:46:00</t>
  </si>
  <si>
    <t>2026-02-02 13:11:00</t>
  </si>
  <si>
    <t>2026-01-05 20:16:27</t>
  </si>
  <si>
    <t>MAEU277628999</t>
  </si>
  <si>
    <t>2026-02-02 13:12:07</t>
  </si>
  <si>
    <t>177OWYWYQ30175V</t>
  </si>
  <si>
    <t>2026-02-13 20:00:57</t>
  </si>
  <si>
    <t>2026-01-07 23:08:41</t>
  </si>
  <si>
    <t>NB JIAVIEW USA INC</t>
  </si>
  <si>
    <t>2026-02-16 14:39:21</t>
  </si>
  <si>
    <t>MSC LORETO</t>
  </si>
  <si>
    <t>GJ601W</t>
  </si>
  <si>
    <t>2025-12-30 21:01:38</t>
  </si>
  <si>
    <t>2026-01-07 20:15:03</t>
  </si>
  <si>
    <t>MEDUR9925401</t>
  </si>
  <si>
    <t>2026-02-16 07:56:06</t>
  </si>
  <si>
    <t>277629041</t>
  </si>
  <si>
    <t>2026-02-04 06:00:00</t>
  </si>
  <si>
    <t>2026-02-13 20:01:23</t>
  </si>
  <si>
    <t>2026-02-04 05:06:00</t>
  </si>
  <si>
    <t>2026-02-05 01:47:00</t>
  </si>
  <si>
    <t>2026-02-09 13:38:47</t>
  </si>
  <si>
    <t>2026-02-06 09:59:00</t>
  </si>
  <si>
    <t>2026-02-10 08:30:00</t>
  </si>
  <si>
    <t>MAERSK KINLOSS</t>
  </si>
  <si>
    <t>603E</t>
  </si>
  <si>
    <t>2025-12-31 21:01:57</t>
  </si>
  <si>
    <t>2026-01-13 20:15:58</t>
  </si>
  <si>
    <t>MAEU277629041</t>
  </si>
  <si>
    <t>2026-02-09 11:13:55</t>
  </si>
  <si>
    <t>277629042</t>
  </si>
  <si>
    <t>2026-02-04 22:00:00</t>
  </si>
  <si>
    <t>2026-02-13 20:01:24</t>
  </si>
  <si>
    <t>2026-02-06 09:17:00</t>
  </si>
  <si>
    <t>2026-02-11 08:39:43</t>
  </si>
  <si>
    <t>2026-02-09 08:25:00</t>
  </si>
  <si>
    <t>2026-02-15 07:13:00</t>
  </si>
  <si>
    <t>2026-01-13 20:15:59</t>
  </si>
  <si>
    <t>MAEU277629042</t>
  </si>
  <si>
    <t>2026-02-10 13:47:49</t>
  </si>
  <si>
    <t>277629043</t>
  </si>
  <si>
    <t>2026-02-13 20:01:25</t>
  </si>
  <si>
    <t>2026-02-08 18:54:00</t>
  </si>
  <si>
    <t>2026-02-11 17:05:24</t>
  </si>
  <si>
    <t>2026-02-11 10:45:53</t>
  </si>
  <si>
    <t>2026-02-09 15:32:00</t>
  </si>
  <si>
    <t>2026-02-13 11:50:00</t>
  </si>
  <si>
    <t>2025-12-31 21:01:58</t>
  </si>
  <si>
    <t>2026-01-13 20:16:00</t>
  </si>
  <si>
    <t>MAEU277629043</t>
  </si>
  <si>
    <t>2026-02-11 07:37:01</t>
  </si>
  <si>
    <t>277629044</t>
  </si>
  <si>
    <t>2026-02-13 20:01:57</t>
  </si>
  <si>
    <t>2026-02-06 19:37:00</t>
  </si>
  <si>
    <t>2026-02-13 06:39:29</t>
  </si>
  <si>
    <t>2026-02-11 09:06:00</t>
  </si>
  <si>
    <t>2026-02-16 07:04:00</t>
  </si>
  <si>
    <t>2026-01-01 21:01:36</t>
  </si>
  <si>
    <t>2026-01-13 20:16:22</t>
  </si>
  <si>
    <t>MAEU277629044</t>
  </si>
  <si>
    <t>2026-02-12 13:19:11</t>
  </si>
  <si>
    <t>277629045</t>
  </si>
  <si>
    <t>2026-02-13 20:01:26</t>
  </si>
  <si>
    <t>2026-02-06 19:26:00</t>
  </si>
  <si>
    <t>2026-02-13 12:40:00</t>
  </si>
  <si>
    <t>2026-02-11 08:26:00</t>
  </si>
  <si>
    <t>2026-02-16 07:09:00</t>
  </si>
  <si>
    <t>MAEU277629045</t>
  </si>
  <si>
    <t>2026-02-13 08:20:40</t>
  </si>
  <si>
    <t>277629046</t>
  </si>
  <si>
    <t>2026-02-07 18:34:00</t>
  </si>
  <si>
    <t>2026-02-13 12:40:01</t>
  </si>
  <si>
    <t>2026-02-11 10:29:00</t>
  </si>
  <si>
    <t>2026-02-20 19:05:00</t>
  </si>
  <si>
    <t>2026-01-13 20:16:01</t>
  </si>
  <si>
    <t>MAEU277629046</t>
  </si>
  <si>
    <t>2026-02-13 09:44:28</t>
  </si>
  <si>
    <t>277629047</t>
  </si>
  <si>
    <t>2026-02-13 20:01:27</t>
  </si>
  <si>
    <t>2026-02-07 21:31:00</t>
  </si>
  <si>
    <t>2026-02-17 07:39:26</t>
  </si>
  <si>
    <t>2026-02-11 09:49:00</t>
  </si>
  <si>
    <t>2026-02-16 07:41:00</t>
  </si>
  <si>
    <t>2025-12-31 21:01:59</t>
  </si>
  <si>
    <t>2026-01-20 19:46:54</t>
  </si>
  <si>
    <t>MAEU277629047</t>
  </si>
  <si>
    <t>2026-02-16 07:31:02</t>
  </si>
  <si>
    <t>277629048</t>
  </si>
  <si>
    <t>2026-02-13 20:01:28</t>
  </si>
  <si>
    <t>2026-02-07 09:53:00</t>
  </si>
  <si>
    <t>2026-02-13 06:39:30</t>
  </si>
  <si>
    <t>2026-02-10 10:02:00</t>
  </si>
  <si>
    <t>2026-02-16 07:10:00</t>
  </si>
  <si>
    <t>2026-01-13 20:16:02</t>
  </si>
  <si>
    <t>MAEU277629048</t>
  </si>
  <si>
    <t>2026-02-11 13:47:21</t>
  </si>
  <si>
    <t>277629049</t>
  </si>
  <si>
    <t>2026-02-13 20:01:29</t>
  </si>
  <si>
    <t>2026-02-07 15:01:00</t>
  </si>
  <si>
    <t>2026-02-11 14:38:54</t>
  </si>
  <si>
    <t>2026-02-10 09:31:00</t>
  </si>
  <si>
    <t>2026-02-13 11:44:00</t>
  </si>
  <si>
    <t>2026-01-13 20:16:03</t>
  </si>
  <si>
    <t>MAEU277629049</t>
  </si>
  <si>
    <t>2026-02-11 08:53:34</t>
  </si>
  <si>
    <t>277629050</t>
  </si>
  <si>
    <t>2026-02-06 19:28:00</t>
  </si>
  <si>
    <t>2026-02-12 14:09:27</t>
  </si>
  <si>
    <t>2026-02-11 08:25:00</t>
  </si>
  <si>
    <t>2026-02-16 07:08:00</t>
  </si>
  <si>
    <t>2025-12-31 21:02:00</t>
  </si>
  <si>
    <t>2026-01-20 19:46:55</t>
  </si>
  <si>
    <t>MAEU277629050</t>
  </si>
  <si>
    <t>2026-02-12 11:30:17</t>
  </si>
  <si>
    <t>277629051</t>
  </si>
  <si>
    <t>2026-02-13 20:01:56</t>
  </si>
  <si>
    <t>2026-02-07 15:52:00</t>
  </si>
  <si>
    <t>2026-02-13 14:39:07</t>
  </si>
  <si>
    <t>2026-02-11 10:03:00</t>
  </si>
  <si>
    <t>2026-02-16 07:13:00</t>
  </si>
  <si>
    <t>2026-01-13 20:16:21</t>
  </si>
  <si>
    <t>MAEU277629051</t>
  </si>
  <si>
    <t>2026-02-13 13:12:37</t>
  </si>
  <si>
    <t>277629052</t>
  </si>
  <si>
    <t>2026-02-13 20:01:30</t>
  </si>
  <si>
    <t>2026-02-07 11:15:00</t>
  </si>
  <si>
    <t>2026-02-12 06:39:14</t>
  </si>
  <si>
    <t>2026-02-10 09:53:00</t>
  </si>
  <si>
    <t>2026-02-15 07:05:00</t>
  </si>
  <si>
    <t>MAEU277629052</t>
  </si>
  <si>
    <t>2026-02-11 12:55:58</t>
  </si>
  <si>
    <t>277629088</t>
  </si>
  <si>
    <t>2026-02-06 14:12:00</t>
  </si>
  <si>
    <t>2026-02-18 07:39:29</t>
  </si>
  <si>
    <t>2026-02-11 09:25:00</t>
  </si>
  <si>
    <t>2026-02-18 05:52:00</t>
  </si>
  <si>
    <t>2026-02-18 12:00:17</t>
  </si>
  <si>
    <t>2026-01-03 02:14:27</t>
  </si>
  <si>
    <t>MAEU277629088</t>
  </si>
  <si>
    <t>2026-02-18 05:54:59</t>
  </si>
  <si>
    <t>277629089</t>
  </si>
  <si>
    <t>2026-02-05 22:20:00</t>
  </si>
  <si>
    <t>2026-02-13 06:39:28</t>
  </si>
  <si>
    <t>2026-02-07 12:44:00</t>
  </si>
  <si>
    <t>2026-02-08 12:44:00</t>
  </si>
  <si>
    <t>2026-02-12 13:35:00</t>
  </si>
  <si>
    <t>2025-12-22 21:02:08</t>
  </si>
  <si>
    <t>2026-01-03 02:14:28</t>
  </si>
  <si>
    <t>MAEU277629089</t>
  </si>
  <si>
    <t>2026-02-13 04:36:27</t>
  </si>
  <si>
    <t>277629090</t>
  </si>
  <si>
    <t>2026-02-13 19:57:18</t>
  </si>
  <si>
    <t>2026-02-06 01:56:00</t>
  </si>
  <si>
    <t>2026-02-13 05:09:10</t>
  </si>
  <si>
    <t>2026-02-09 14:25:00</t>
  </si>
  <si>
    <t>2026-02-10 14:25:00</t>
  </si>
  <si>
    <t>2026-02-13 06:39:00</t>
  </si>
  <si>
    <t>MAEU277629090</t>
  </si>
  <si>
    <t>2026-02-12 11:48:34</t>
  </si>
  <si>
    <t>277629091</t>
  </si>
  <si>
    <t>2026-02-06 04:18:00</t>
  </si>
  <si>
    <t>2026-02-13 11:39:02</t>
  </si>
  <si>
    <t>2026-02-10 16:44:56</t>
  </si>
  <si>
    <t>2026-02-11 16:44:56</t>
  </si>
  <si>
    <t>2026-02-14 09:58:00</t>
  </si>
  <si>
    <t>2026-01-03 02:14:29</t>
  </si>
  <si>
    <t>MAEU277629091</t>
  </si>
  <si>
    <t>2026-02-13 09:25:39</t>
  </si>
  <si>
    <t>277629092</t>
  </si>
  <si>
    <t>2026-02-13 19:57:19</t>
  </si>
  <si>
    <t>2026-02-06 11:22:00</t>
  </si>
  <si>
    <t>2026-02-17 10:39:00</t>
  </si>
  <si>
    <t>2026-02-11 10:47:00</t>
  </si>
  <si>
    <t>2026-02-17 07:27:00</t>
  </si>
  <si>
    <t>2026-02-17 12:00:16</t>
  </si>
  <si>
    <t>2025-12-22 21:02:09</t>
  </si>
  <si>
    <t>MAEU277629092</t>
  </si>
  <si>
    <t>2026-02-17 08:24:32</t>
  </si>
  <si>
    <t>277629093</t>
  </si>
  <si>
    <t>2026-02-13 19:57:20</t>
  </si>
  <si>
    <t>2026-02-06 16:02:00</t>
  </si>
  <si>
    <t>2026-02-17 06:39:48</t>
  </si>
  <si>
    <t>2026-02-11 07:03:00</t>
  </si>
  <si>
    <t>2026-02-18 13:48:00</t>
  </si>
  <si>
    <t>2026-01-03 02:14:30</t>
  </si>
  <si>
    <t>MAEU277629093</t>
  </si>
  <si>
    <t>2026-02-17 04:30:22</t>
  </si>
  <si>
    <t>277629094</t>
  </si>
  <si>
    <t>2026-02-13 19:57:21</t>
  </si>
  <si>
    <t>2026-02-05 14:41:00</t>
  </si>
  <si>
    <t>2026-02-11 11:19:55</t>
  </si>
  <si>
    <t>2026-02-06 07:37:00</t>
  </si>
  <si>
    <t>2026-02-07 07:37:00</t>
  </si>
  <si>
    <t>2026-02-10 05:37:00</t>
  </si>
  <si>
    <t>2026-02-11 06:08:00</t>
  </si>
  <si>
    <t>MAEU277629094</t>
  </si>
  <si>
    <t>2026-02-11 08:03:12</t>
  </si>
  <si>
    <t>277629095</t>
  </si>
  <si>
    <t>2026-02-13 19:57:41</t>
  </si>
  <si>
    <t>2026-02-06 14:32:00</t>
  </si>
  <si>
    <t>2026-02-18 09:39:07</t>
  </si>
  <si>
    <t>2026-02-11 06:55:00</t>
  </si>
  <si>
    <t>2026-02-18 05:31:00</t>
  </si>
  <si>
    <t>2025-12-23 09:22:46</t>
  </si>
  <si>
    <t>2026-01-03 02:14:47</t>
  </si>
  <si>
    <t>MAEU277629095</t>
  </si>
  <si>
    <t>2026-02-18 07:59:49</t>
  </si>
  <si>
    <t>277629096</t>
  </si>
  <si>
    <t>2026-02-06 03:03:00</t>
  </si>
  <si>
    <t>2026-02-18 06:39:22</t>
  </si>
  <si>
    <t>2026-02-17 06:19:00</t>
  </si>
  <si>
    <t>2025-12-22 21:02:10</t>
  </si>
  <si>
    <t>2026-01-03 02:14:31</t>
  </si>
  <si>
    <t>MAEU277629096</t>
  </si>
  <si>
    <t>2026-02-18 04:24:47</t>
  </si>
  <si>
    <t>277629097</t>
  </si>
  <si>
    <t>2026-02-13 19:57:22</t>
  </si>
  <si>
    <t>2026-02-05 15:05:00</t>
  </si>
  <si>
    <t>2026-02-12 10:39:09</t>
  </si>
  <si>
    <t>2026-02-09 16:48:23</t>
  </si>
  <si>
    <t>2026-02-10 16:48:23</t>
  </si>
  <si>
    <t>2026-02-12 07:10:00</t>
  </si>
  <si>
    <t>2026-02-12 12:00:16</t>
  </si>
  <si>
    <t>MAEU277629097</t>
  </si>
  <si>
    <t>2026-02-12 08:28:44</t>
  </si>
  <si>
    <t>277629078</t>
  </si>
  <si>
    <t>2026-02-16 02:32:00</t>
  </si>
  <si>
    <t>2026-02-23 10:39:03</t>
  </si>
  <si>
    <t>2026-02-19 10:08:00</t>
  </si>
  <si>
    <t>2026-02-25 06:03:00</t>
  </si>
  <si>
    <t>MAEU277629078</t>
  </si>
  <si>
    <t>2026-02-23 08:52:11</t>
  </si>
  <si>
    <t>277629079</t>
  </si>
  <si>
    <t>2026-02-16 03:24:00</t>
  </si>
  <si>
    <t>2026-02-26 09:38:57</t>
  </si>
  <si>
    <t>2026-02-19 09:01:00</t>
  </si>
  <si>
    <t>2026-02-26 08:06:00</t>
  </si>
  <si>
    <t>2026-02-26 12:00:18</t>
  </si>
  <si>
    <t>2026-01-09 20:19:52</t>
  </si>
  <si>
    <t>MAEU277629079</t>
  </si>
  <si>
    <t>2026-02-26 07:13:02</t>
  </si>
  <si>
    <t>277629080</t>
  </si>
  <si>
    <t>2026-02-16 10:11:00</t>
  </si>
  <si>
    <t>2026-02-20 07:13:00</t>
  </si>
  <si>
    <t>MAEU277629080</t>
  </si>
  <si>
    <t>277629081</t>
  </si>
  <si>
    <t>2026-02-16 09:31:00</t>
  </si>
  <si>
    <t>2026-02-23 13:17:00</t>
  </si>
  <si>
    <t>2026-01-04 21:01:49</t>
  </si>
  <si>
    <t>2026-01-09 20:19:53</t>
  </si>
  <si>
    <t>MAEU277629081</t>
  </si>
  <si>
    <t>277629082</t>
  </si>
  <si>
    <t>2026-02-16 02:00:00</t>
  </si>
  <si>
    <t>2026-02-19 11:28:00</t>
  </si>
  <si>
    <t>2026-02-26 07:14:00</t>
  </si>
  <si>
    <t>MAEU277629082</t>
  </si>
  <si>
    <t>WMS处理中</t>
  </si>
  <si>
    <t>2026-02-26 07:16:47</t>
  </si>
  <si>
    <t>277629083</t>
  </si>
  <si>
    <t>2026-02-16 03:41:00</t>
  </si>
  <si>
    <t>2026-02-19 07:03:00</t>
  </si>
  <si>
    <t>MAEU277629083</t>
  </si>
  <si>
    <t>277629084</t>
  </si>
  <si>
    <t>2026-02-15 19:10:00</t>
  </si>
  <si>
    <t>2026-02-25 09:09:14</t>
  </si>
  <si>
    <t>2026-02-19 07:24:00</t>
  </si>
  <si>
    <t>2026-02-25 06:06:00</t>
  </si>
  <si>
    <t>MAEU277629084</t>
  </si>
  <si>
    <t>2026-02-25 04:17:04</t>
  </si>
  <si>
    <t>277629085</t>
  </si>
  <si>
    <t>2026-02-15 19:34:00</t>
  </si>
  <si>
    <t>2026-02-25 06:39:36</t>
  </si>
  <si>
    <t>2026-02-19 08:39:00</t>
  </si>
  <si>
    <t>2026-02-24 16:51:19</t>
  </si>
  <si>
    <t>2026-02-25 08:00:18</t>
  </si>
  <si>
    <t>MAEU277629085</t>
  </si>
  <si>
    <t>2026-02-25 04:16:45</t>
  </si>
  <si>
    <t>277629086</t>
  </si>
  <si>
    <t>2026-02-15 11:08:00</t>
  </si>
  <si>
    <t>2026-02-26 08:39:37</t>
  </si>
  <si>
    <t>2026-02-19 14:24:00</t>
  </si>
  <si>
    <t>2026-02-26 06:20:00</t>
  </si>
  <si>
    <t>2026-01-09 20:19:54</t>
  </si>
  <si>
    <t>MAEU277629086</t>
  </si>
  <si>
    <t>2026-02-26 04:35:52</t>
  </si>
  <si>
    <t>277629087</t>
  </si>
  <si>
    <t>2026-02-15 22:07:00</t>
  </si>
  <si>
    <t>2026-02-26 12:08:47</t>
  </si>
  <si>
    <t>2026-02-19 15:50:00</t>
  </si>
  <si>
    <t>2026-02-26 06:41:00</t>
  </si>
  <si>
    <t>MAEU277629087</t>
  </si>
  <si>
    <t>2026-02-26 08:09:59</t>
  </si>
  <si>
    <t>EBKG15274112</t>
  </si>
  <si>
    <t>胡志明</t>
  </si>
  <si>
    <t>CTY TNHH SOUTHEAST LOGISTICS VIET NAM</t>
  </si>
  <si>
    <t>2026-02-13 20:12:10</t>
  </si>
  <si>
    <t>盐田,深圳</t>
  </si>
  <si>
    <t>2026-01-24 22:53:57</t>
  </si>
  <si>
    <t>2026-04-06 23:59:59</t>
  </si>
  <si>
    <t>MSC KUMSAL</t>
  </si>
  <si>
    <t>FV602N</t>
  </si>
  <si>
    <t>2026-01-20 21:02:05</t>
  </si>
  <si>
    <t>MEDUKE283164</t>
  </si>
  <si>
    <t>常规：需换单</t>
  </si>
  <si>
    <t>1811F026PE20237R3</t>
  </si>
  <si>
    <t>2026-01-09 20:22:52</t>
  </si>
  <si>
    <t>MEDUF3544238</t>
  </si>
  <si>
    <t>263151373</t>
  </si>
  <si>
    <t>2026-02-13 20:00:58</t>
  </si>
  <si>
    <t>2026-01-11 05:15:00</t>
  </si>
  <si>
    <t>2026-02-26 09:58:00</t>
  </si>
  <si>
    <t>SHENG LI JI</t>
  </si>
  <si>
    <t>601S</t>
  </si>
  <si>
    <t>2025-12-30 21:01:39</t>
  </si>
  <si>
    <t>2026-01-03 20:19:33</t>
  </si>
  <si>
    <t>MAEU263151373</t>
  </si>
  <si>
    <t>1811M026PE20138B2</t>
  </si>
  <si>
    <t>2026-02-01 16:00:00</t>
  </si>
  <si>
    <t>2026-02-01 15:15:41</t>
  </si>
  <si>
    <t>2026-02-03 00:00:00</t>
  </si>
  <si>
    <t>2026-02-09 12:39:02</t>
  </si>
  <si>
    <t>571K</t>
  </si>
  <si>
    <t>MEDUF3542844</t>
  </si>
  <si>
    <t>2026-02-09 10:22:48</t>
  </si>
  <si>
    <t>177UBQBQN0A647A</t>
  </si>
  <si>
    <t>2026-02-13 19:59:42</t>
  </si>
  <si>
    <t>2026-01-30 15:38:56</t>
  </si>
  <si>
    <t>2025-12-27 21:02:09</t>
  </si>
  <si>
    <t>2026-01-01 20:15:40</t>
  </si>
  <si>
    <t>MEDUKY445604</t>
  </si>
  <si>
    <t>2026-01-30 13:55:25</t>
  </si>
  <si>
    <t>177UBQBQN0A646A</t>
  </si>
  <si>
    <t>2026-02-13 19:59:57</t>
  </si>
  <si>
    <t>2026-01-30 15:09:05</t>
  </si>
  <si>
    <t>2025-12-28 21:01:34</t>
  </si>
  <si>
    <t>2026-01-01 20:16:15</t>
  </si>
  <si>
    <t>MEDUKY445588</t>
  </si>
  <si>
    <t>2026-01-30 08:07:03</t>
  </si>
  <si>
    <t>177UBQBQN0A645A</t>
  </si>
  <si>
    <t>2026-02-13 19:59:54</t>
  </si>
  <si>
    <t>2026-01-25 03:09:30</t>
  </si>
  <si>
    <t>2026-02-05 08:09:05</t>
  </si>
  <si>
    <t>2025-12-27 21:02:14</t>
  </si>
  <si>
    <t>2026-01-01 20:16:13</t>
  </si>
  <si>
    <t>MEDUKY445570</t>
  </si>
  <si>
    <t>2026-02-04 14:16:11</t>
  </si>
  <si>
    <t>177UBQBQN0A644A</t>
  </si>
  <si>
    <t>2026-02-13 19:59:55</t>
  </si>
  <si>
    <t>2026-02-03 06:39:57</t>
  </si>
  <si>
    <t>MEDUKY445562</t>
  </si>
  <si>
    <t>2026-02-02 13:58:17</t>
  </si>
  <si>
    <t>177UBQBQN0A643A</t>
  </si>
  <si>
    <t>2026-02-13 19:59:56</t>
  </si>
  <si>
    <t>2026-01-29 13:09:07</t>
  </si>
  <si>
    <t>2026-01-01 20:16:14</t>
  </si>
  <si>
    <t>MEDUKY445554</t>
  </si>
  <si>
    <t>2026-01-29 10:05:06</t>
  </si>
  <si>
    <t>177UBQBQN0A642A</t>
  </si>
  <si>
    <t>洛杉矶,加利福尼亚州</t>
  </si>
  <si>
    <t>2026-02-06 14:39:22</t>
  </si>
  <si>
    <t>2026-01-01 20:16:12</t>
  </si>
  <si>
    <t>MEDUKY445547</t>
  </si>
  <si>
    <t>2026-02-06 11:37:59</t>
  </si>
  <si>
    <t>264862220</t>
  </si>
  <si>
    <t>2026-01-18 00:00:00</t>
  </si>
  <si>
    <t>2026-02-13 20:05:33</t>
  </si>
  <si>
    <t>2026-02-12 14:25:00</t>
  </si>
  <si>
    <t>2026-02-18 11:38:50</t>
  </si>
  <si>
    <t>2026-02-16 08:11:00</t>
  </si>
  <si>
    <t>2026-02-18 13:15:00</t>
  </si>
  <si>
    <t>MAERSK CANDOR</t>
  </si>
  <si>
    <t>2026-01-19 19:49:11</t>
  </si>
  <si>
    <t>MAEU264862220</t>
  </si>
  <si>
    <t>2026-02-17 15:16:44</t>
  </si>
  <si>
    <t>EBKG15307933</t>
  </si>
  <si>
    <t>归仁</t>
  </si>
  <si>
    <t>2026-02-13 20:12:11</t>
  </si>
  <si>
    <t>2026-01-27 23:21:37</t>
  </si>
  <si>
    <t>2026-02-26 18:06:21</t>
  </si>
  <si>
    <t>SEA STAR 1</t>
  </si>
  <si>
    <t>HZ604A</t>
  </si>
  <si>
    <t>MEDUKE501441</t>
  </si>
  <si>
    <t>EBKG15274208</t>
  </si>
  <si>
    <t>2026-02-13 20:08:04</t>
  </si>
  <si>
    <t>2026-01-19 17:14:49</t>
  </si>
  <si>
    <t>HZ603A</t>
  </si>
  <si>
    <t>2026-01-13 21:02:09</t>
  </si>
  <si>
    <t>MEDUKE283222</t>
  </si>
  <si>
    <t>EBKG15274006</t>
  </si>
  <si>
    <t>2026-02-13 20:12:26</t>
  </si>
  <si>
    <t>2026-02-26 18:08:06</t>
  </si>
  <si>
    <t>2026-01-21 21:01:50</t>
  </si>
  <si>
    <t>MEDUKE284121</t>
  </si>
  <si>
    <t>EBKG15274233</t>
  </si>
  <si>
    <t>2026-02-13 20:08:11</t>
  </si>
  <si>
    <t>MEDUKE283313</t>
  </si>
  <si>
    <t>EBKG15274161</t>
  </si>
  <si>
    <t>2026-02-13 20:08:12</t>
  </si>
  <si>
    <t>2026-01-13 21:02:14</t>
  </si>
  <si>
    <t>MEDUKE283495</t>
  </si>
  <si>
    <t>EBKG15274279</t>
  </si>
  <si>
    <t>2026-03-03 00:00:00</t>
  </si>
  <si>
    <t>2026-03-01 23:59:59</t>
  </si>
  <si>
    <t>2026-02-13 20:12:25</t>
  </si>
  <si>
    <t>2026-03-26 23:59:59</t>
  </si>
  <si>
    <t>MEDUKE283396</t>
  </si>
  <si>
    <t>EBKG15274031</t>
  </si>
  <si>
    <t>2026-02-27 18:09:16</t>
  </si>
  <si>
    <t>MEDUKE282950</t>
  </si>
  <si>
    <t>EBKG15274004</t>
  </si>
  <si>
    <t>2026-02-13 20:11:44</t>
  </si>
  <si>
    <t>2026-02-27 18:10:29</t>
  </si>
  <si>
    <t>2026-02-28 00:00:00</t>
  </si>
  <si>
    <t>2026-01-19 21:02:10</t>
  </si>
  <si>
    <t>MEDUKE284097</t>
  </si>
  <si>
    <t>EBKG15274270</t>
  </si>
  <si>
    <t>2026-02-13 20:12:42</t>
  </si>
  <si>
    <t>MEDUKE283370</t>
  </si>
  <si>
    <t>EBKG15274178</t>
  </si>
  <si>
    <t>2026-02-13 20:11:45</t>
  </si>
  <si>
    <t>新加坡</t>
  </si>
  <si>
    <t>2026-01-29 09:29:28</t>
  </si>
  <si>
    <t>FSL SINGAPORE</t>
  </si>
  <si>
    <t>229S</t>
  </si>
  <si>
    <t>MEDUKE283545</t>
  </si>
  <si>
    <t>EBKG15274026</t>
  </si>
  <si>
    <t>2026-02-13 20:11:46</t>
  </si>
  <si>
    <t>2026-02-27 18:11:29</t>
  </si>
  <si>
    <t>MEDUKE282927</t>
  </si>
  <si>
    <t>EBKG15274295</t>
  </si>
  <si>
    <t>2026-03-28 00:00:00</t>
  </si>
  <si>
    <t>2026-02-13 20:16:28</t>
  </si>
  <si>
    <t>2026-02-08 14:17:02</t>
  </si>
  <si>
    <t>XA605A</t>
  </si>
  <si>
    <t>2026-01-27 21:02:15</t>
  </si>
  <si>
    <t>MEDUKE283404</t>
  </si>
  <si>
    <t>EBKG15273996</t>
  </si>
  <si>
    <t>2026-02-13 20:10:58</t>
  </si>
  <si>
    <t>2026-02-27 18:12:14</t>
  </si>
  <si>
    <t>MEDUKE284055</t>
  </si>
  <si>
    <t>EBKG15274225</t>
  </si>
  <si>
    <t>MEDUKE283263</t>
  </si>
  <si>
    <t>EBKG15274154</t>
  </si>
  <si>
    <t>2026-02-13 20:07:38</t>
  </si>
  <si>
    <t>2026-01-22 21:01:59</t>
  </si>
  <si>
    <t>MEDUKE283487</t>
  </si>
  <si>
    <t>EBKG15274014</t>
  </si>
  <si>
    <t>2026-02-13 20:12:06</t>
  </si>
  <si>
    <t>2026-02-27 18:13:41</t>
  </si>
  <si>
    <t>MEDUKE282893</t>
  </si>
  <si>
    <t>EBKG15274041</t>
  </si>
  <si>
    <t>2026-03-14 00:00:00</t>
  </si>
  <si>
    <t>2026-02-25 20:03:42</t>
  </si>
  <si>
    <t>2026-03-17 00:00:00</t>
  </si>
  <si>
    <t>2026-01-28 21:02:28</t>
  </si>
  <si>
    <t>MEDUKE282976</t>
  </si>
  <si>
    <t>EBKG15274250</t>
  </si>
  <si>
    <t>2026-02-13 20:12:05</t>
  </si>
  <si>
    <t>2026-01-20 21:02:01</t>
  </si>
  <si>
    <t>MEDUKE283354</t>
  </si>
  <si>
    <t>EBKG15274169</t>
  </si>
  <si>
    <t>2026-02-13 20:12:03</t>
  </si>
  <si>
    <t>2026-01-19 21:02:17</t>
  </si>
  <si>
    <t>MEDUKE283529</t>
  </si>
  <si>
    <t>NBOZT5G16900</t>
  </si>
  <si>
    <t>2026-02-14 08:58:00</t>
  </si>
  <si>
    <t>2026-02-19 15:05:00</t>
  </si>
  <si>
    <t>2026-01-05 21:02:00</t>
  </si>
  <si>
    <t>2026-01-14 20:20:05</t>
  </si>
  <si>
    <t>HDMUNBOZT5G16900</t>
  </si>
  <si>
    <t>NBOZQ8T92000</t>
  </si>
  <si>
    <t>2026-02-13 16:12:00</t>
  </si>
  <si>
    <t>2026-02-25 08:39:26</t>
  </si>
  <si>
    <t>2026-02-18 15:06:00</t>
  </si>
  <si>
    <t>2026-02-24 09:07:00</t>
  </si>
  <si>
    <t>2026-02-25 12:00:18</t>
  </si>
  <si>
    <t>2026-01-14 20:20:06</t>
  </si>
  <si>
    <t>HDMUNBOZQ8T92000</t>
  </si>
  <si>
    <t>2026-02-25 06:57:45</t>
  </si>
  <si>
    <t>NBOZNK128400</t>
  </si>
  <si>
    <t>2026-02-14 08:57:00</t>
  </si>
  <si>
    <t>2026-02-19 15:06:00</t>
  </si>
  <si>
    <t>2026-01-13 20:21:46</t>
  </si>
  <si>
    <t>HDMUNBOZNK128400</t>
  </si>
  <si>
    <t>NBOZHGC29300</t>
  </si>
  <si>
    <t>2026-02-13 09:55:00</t>
  </si>
  <si>
    <t>2026-02-17 09:50:00</t>
  </si>
  <si>
    <t>2026-02-26 10:34:00</t>
  </si>
  <si>
    <t>2026-01-05 21:02:01</t>
  </si>
  <si>
    <t>HDMUNBOZHGC29300</t>
  </si>
  <si>
    <t>NBOZF8083600</t>
  </si>
  <si>
    <t>2026-02-13 09:53:00</t>
  </si>
  <si>
    <t>2026-02-23 06:39:10</t>
  </si>
  <si>
    <t>2026-02-18 13:07:00</t>
  </si>
  <si>
    <t>2026-02-24 05:29:00</t>
  </si>
  <si>
    <t>HDMUNBOZF8083600</t>
  </si>
  <si>
    <t>2026-02-23 04:34:29</t>
  </si>
  <si>
    <t>NBOZ9RM20600</t>
  </si>
  <si>
    <t>2026-02-14 04:21:00</t>
  </si>
  <si>
    <t>2026-02-19 15:18:00</t>
  </si>
  <si>
    <t>2026-01-13 20:21:47</t>
  </si>
  <si>
    <t>HDMUNBOZ9RM20600</t>
  </si>
  <si>
    <t>177WBQBQN3A252A</t>
  </si>
  <si>
    <t>ZIM MOUNT OLYMPUS</t>
  </si>
  <si>
    <t>2026-01-27 20:04:12</t>
  </si>
  <si>
    <t>MEDUWT658863</t>
  </si>
  <si>
    <t>177WBQBQN3A251A</t>
  </si>
  <si>
    <t>2026-01-23 21:02:08</t>
  </si>
  <si>
    <t>2026-01-27 20:04:13</t>
  </si>
  <si>
    <t>MEDUWT658848</t>
  </si>
  <si>
    <t>177WBQBQN3A250A</t>
  </si>
  <si>
    <t>MEDUWT658822</t>
  </si>
  <si>
    <t>177WBQBQN3A249A</t>
  </si>
  <si>
    <t>2026-01-27 20:04:14</t>
  </si>
  <si>
    <t>MEDUWT658814</t>
  </si>
  <si>
    <t>HLCUTS12512BMJZ5</t>
  </si>
  <si>
    <t>HPL</t>
  </si>
  <si>
    <t>2026-02-19 19:00:00</t>
  </si>
  <si>
    <t>2026-01-13 01:08:05</t>
  </si>
  <si>
    <t>2026-02-19 22:38:00</t>
  </si>
  <si>
    <t>2026-02-20 09:06:00</t>
  </si>
  <si>
    <t>2026-02-25 06:27:00</t>
  </si>
  <si>
    <t>MAERSK EMDEN</t>
  </si>
  <si>
    <t>2025-12-31 21:02:01</t>
  </si>
  <si>
    <t>2026-01-04 20:22:29</t>
  </si>
  <si>
    <t>HLCU</t>
  </si>
  <si>
    <t>181AY0253385404A1</t>
  </si>
  <si>
    <t>2026-02-10 16:00:00</t>
  </si>
  <si>
    <t>2026-01-19 00:00:00</t>
  </si>
  <si>
    <t>2026-02-13 20:10:24</t>
  </si>
  <si>
    <t>2026-02-10 04:21:00</t>
  </si>
  <si>
    <t>2026-02-17 19:00:57</t>
  </si>
  <si>
    <t>2026-02-26 14:08:47</t>
  </si>
  <si>
    <t>MSC DEILA</t>
  </si>
  <si>
    <t>FV601N</t>
  </si>
  <si>
    <t>2026-01-16 21:02:27</t>
  </si>
  <si>
    <t>2026-01-19 19:56:07</t>
  </si>
  <si>
    <t>MEDUYM654107</t>
  </si>
  <si>
    <t>2026-02-26 07:23:53</t>
  </si>
  <si>
    <t>181AY0253385403A1</t>
  </si>
  <si>
    <t>2026-01-26 01:09:07</t>
  </si>
  <si>
    <t>2026-02-02 23:59:59</t>
  </si>
  <si>
    <t>2026-02-06 14:39:21</t>
  </si>
  <si>
    <t>MSC MARTINA MARIA</t>
  </si>
  <si>
    <t>FV551N</t>
  </si>
  <si>
    <t>2026-01-04 21:01:52</t>
  </si>
  <si>
    <t>2026-01-07 20:22:10</t>
  </si>
  <si>
    <t>MEDUYM654099</t>
  </si>
  <si>
    <t>2026-02-06 08:05:01</t>
  </si>
  <si>
    <t>NBOZYXA96300</t>
  </si>
  <si>
    <t>2026-02-12 06:00:00</t>
  </si>
  <si>
    <t>2026-02-13 20:11:19</t>
  </si>
  <si>
    <t>2026-02-12 02:49:00</t>
  </si>
  <si>
    <t>2026-02-13 10:59:00</t>
  </si>
  <si>
    <t>USLGBTTI</t>
  </si>
  <si>
    <t>2026-02-20 02:03:32</t>
  </si>
  <si>
    <t>2026-02-20 14:39:10</t>
  </si>
  <si>
    <t>2026-02-18 11:20:00</t>
  </si>
  <si>
    <t>2026-02-23 07:06:00</t>
  </si>
  <si>
    <t>HMM RUBY</t>
  </si>
  <si>
    <t>0011E</t>
  </si>
  <si>
    <t>2026-01-17 21:01:56</t>
  </si>
  <si>
    <t>2026-01-27 19:56:17</t>
  </si>
  <si>
    <t>HDMUNBOZYXA96300</t>
  </si>
  <si>
    <t>2026-02-20 07:49:35</t>
  </si>
  <si>
    <t>NBOZW2Y17000</t>
  </si>
  <si>
    <t>2026-02-13 20:10:59</t>
  </si>
  <si>
    <t>2026-02-14 13:35:00</t>
  </si>
  <si>
    <t>2026-02-20 02:10:34</t>
  </si>
  <si>
    <t>2026-02-23 06:39:22</t>
  </si>
  <si>
    <t>2026-02-19 08:24:00</t>
  </si>
  <si>
    <t>2026-02-23 09:04:00</t>
  </si>
  <si>
    <t>2026-01-16 21:02:37</t>
  </si>
  <si>
    <t>2026-01-21 19:57:58</t>
  </si>
  <si>
    <t>HDMUNBOZW2Y17000</t>
  </si>
  <si>
    <t>2026-02-20 13:26:21</t>
  </si>
  <si>
    <t>NBOZVFN89600</t>
  </si>
  <si>
    <t>2026-02-13 20:11:03</t>
  </si>
  <si>
    <t>2026-02-20 02:04:37</t>
  </si>
  <si>
    <t>2026-02-23 06:39:23</t>
  </si>
  <si>
    <t>2026-02-18 13:54:00</t>
  </si>
  <si>
    <t>2026-02-20 07:55:00</t>
  </si>
  <si>
    <t>2026-01-21 19:58:03</t>
  </si>
  <si>
    <t>HDMUNBOZVFN89600</t>
  </si>
  <si>
    <t>2026-02-20 12:57:23</t>
  </si>
  <si>
    <t>NBOZVA319700</t>
  </si>
  <si>
    <t>2026-02-23 06:00:00</t>
  </si>
  <si>
    <t>2026-02-23 14:00:00</t>
  </si>
  <si>
    <t>2026-02-24 23:47:00</t>
  </si>
  <si>
    <t>HMM TURQUOISE</t>
  </si>
  <si>
    <t>0008E</t>
  </si>
  <si>
    <t>2026-01-21 19:57:59</t>
  </si>
  <si>
    <t>HDMUNBOZVA319700</t>
  </si>
  <si>
    <t>NBOZUA766100</t>
  </si>
  <si>
    <t>2026-02-13 20:11:00</t>
  </si>
  <si>
    <t>2026-02-23 19:58:00</t>
  </si>
  <si>
    <t>2026-02-27 17:58:49</t>
  </si>
  <si>
    <t>HDMUNBOZUA766100</t>
  </si>
  <si>
    <t>NBOZZ8W04900</t>
  </si>
  <si>
    <t>2026-02-13 20:16:22</t>
  </si>
  <si>
    <t>2026-02-24 23:45:00</t>
  </si>
  <si>
    <t>2026-01-27 21:02:09</t>
  </si>
  <si>
    <t>2026-01-30 20:05:03</t>
  </si>
  <si>
    <t>HDMUNBOZZ8W04900</t>
  </si>
  <si>
    <t>NBOZZ5Y02600</t>
  </si>
  <si>
    <t>2026-02-13 20:16:23</t>
  </si>
  <si>
    <t>2026-02-23 20:10:00</t>
  </si>
  <si>
    <t>2026-02-27 17:59:12</t>
  </si>
  <si>
    <t>2026-01-30 20:05:04</t>
  </si>
  <si>
    <t>HDMUNBOZZ5Y02600</t>
  </si>
  <si>
    <t>NBOZSU398100</t>
  </si>
  <si>
    <t>2026-02-13 20:16:24</t>
  </si>
  <si>
    <t>2026-02-24 18:42:00</t>
  </si>
  <si>
    <t>2026-01-31 20:03:51</t>
  </si>
  <si>
    <t>HDMUNBOZSU398100</t>
  </si>
  <si>
    <t>NBOZZPL34100</t>
  </si>
  <si>
    <t>2026-02-13 20:06:55</t>
  </si>
  <si>
    <t>2026-02-04 02:53:00</t>
  </si>
  <si>
    <t>2026-02-05 15:28:00</t>
  </si>
  <si>
    <t>2026-02-12 14:09:15</t>
  </si>
  <si>
    <t>2026-02-11 07:35:00</t>
  </si>
  <si>
    <t>2026-02-12 12:44:00</t>
  </si>
  <si>
    <t>HMM OPAL</t>
  </si>
  <si>
    <t>0009E</t>
  </si>
  <si>
    <t>2026-01-09 21:25:59</t>
  </si>
  <si>
    <t>2026-01-14 20:24:55</t>
  </si>
  <si>
    <t>HDMUNBOZZPL34100</t>
  </si>
  <si>
    <t>2026-02-12 10:26:35</t>
  </si>
  <si>
    <t>NBOZX7Q91500</t>
  </si>
  <si>
    <t>2026-02-13 20:06:56</t>
  </si>
  <si>
    <t>2026-02-05 14:17:00</t>
  </si>
  <si>
    <t>2026-02-12 14:09:25</t>
  </si>
  <si>
    <t>2026-02-11 07:38:00</t>
  </si>
  <si>
    <t>2026-02-12 13:06:00</t>
  </si>
  <si>
    <t>HDMUNBOZX7Q91500</t>
  </si>
  <si>
    <t>2026-02-12 07:38:06</t>
  </si>
  <si>
    <t>177PWYWYQ13863V</t>
  </si>
  <si>
    <t>2026-01-06 20:20:27</t>
  </si>
  <si>
    <t>MEDUR9918406</t>
  </si>
  <si>
    <t>1811F026PE20144R3</t>
  </si>
  <si>
    <t>2026-02-13 20:00:32</t>
  </si>
  <si>
    <t>2025-12-29 21:01:37</t>
  </si>
  <si>
    <t>2026-01-03 02:22:34</t>
  </si>
  <si>
    <t>MEDUF3542927</t>
  </si>
  <si>
    <t>177WBQBQN0A651A</t>
  </si>
  <si>
    <t>2026-02-13 20:01:38</t>
  </si>
  <si>
    <t>MEDUKY448822</t>
  </si>
  <si>
    <t>177WBQBQN0A650A</t>
  </si>
  <si>
    <t>2026-02-13 20:01:39</t>
  </si>
  <si>
    <t>2026-01-04 20:22:30</t>
  </si>
  <si>
    <t>MEDUKY448814</t>
  </si>
  <si>
    <t>177WBQBQN0A649A</t>
  </si>
  <si>
    <t>2026-02-13 20:01:40</t>
  </si>
  <si>
    <t>2025-12-31 21:02:02</t>
  </si>
  <si>
    <t>2026-01-04 20:22:31</t>
  </si>
  <si>
    <t>MEDUKY448798</t>
  </si>
  <si>
    <t>177WBQBQN0A648A</t>
  </si>
  <si>
    <t>MEDUKY448772</t>
  </si>
  <si>
    <t>NBOZYXM23600</t>
  </si>
  <si>
    <t>2026-02-25 17:25:00</t>
  </si>
  <si>
    <t>2026-02-13 20:08:52</t>
  </si>
  <si>
    <t>2026-02-24 08:25:00</t>
  </si>
  <si>
    <t>2026-02-26 04:13:00</t>
  </si>
  <si>
    <t>USSAVGCT</t>
  </si>
  <si>
    <t>ONE BLUE JAY</t>
  </si>
  <si>
    <t>040E</t>
  </si>
  <si>
    <t>2026-01-14 21:02:24</t>
  </si>
  <si>
    <t>2026-01-18 19:54:40</t>
  </si>
  <si>
    <t>HDMUNBOZYXM23600</t>
  </si>
  <si>
    <t>NBOZYRR83200</t>
  </si>
  <si>
    <t>2026-02-13 17:44:41</t>
  </si>
  <si>
    <t>2026-02-25 11:33:00</t>
  </si>
  <si>
    <t>2026-01-13 21:02:10</t>
  </si>
  <si>
    <t>2026-01-18 19:53:34</t>
  </si>
  <si>
    <t>HDMUNBOZYRR83200</t>
  </si>
  <si>
    <t>NBOZV0L47600</t>
  </si>
  <si>
    <t>2026-02-13 17:44:35</t>
  </si>
  <si>
    <t>2026-02-26 04:16:00</t>
  </si>
  <si>
    <t>HDMUNBOZV0L47600</t>
  </si>
  <si>
    <t>NBOZU7532500</t>
  </si>
  <si>
    <t>2026-02-13 17:43:13</t>
  </si>
  <si>
    <t>2026-02-25 22:38:00</t>
  </si>
  <si>
    <t>2026-01-14 21:02:23</t>
  </si>
  <si>
    <t>2026-01-18 19:54:39</t>
  </si>
  <si>
    <t>HDMUNBOZU7532500</t>
  </si>
  <si>
    <t>NBOZTRV78500</t>
  </si>
  <si>
    <t>2026-02-25 16:40:00</t>
  </si>
  <si>
    <t>2026-01-14 21:02:19</t>
  </si>
  <si>
    <t>2026-01-19 19:53:14</t>
  </si>
  <si>
    <t>HDMUNBOZTRV78500</t>
  </si>
  <si>
    <t>NBOZSVQ51400</t>
  </si>
  <si>
    <t>2026-03-01 06:00:00</t>
  </si>
  <si>
    <t>2026-02-13 17:44:05</t>
  </si>
  <si>
    <t>2026-01-22 19:46:00</t>
  </si>
  <si>
    <t>2026-03-14 23:59:59</t>
  </si>
  <si>
    <t>2026-01-18 19:54:21</t>
  </si>
  <si>
    <t>HDMUNBOZSVQ51400</t>
  </si>
  <si>
    <t>NBOZS3Z77800</t>
  </si>
  <si>
    <t>2026-02-13 17:42:18</t>
  </si>
  <si>
    <t>2026-02-25 09:55:00</t>
  </si>
  <si>
    <t>2026-01-15 21:01:45</t>
  </si>
  <si>
    <t>2026-01-19 19:55:38</t>
  </si>
  <si>
    <t>HDMUNBOZS3Z77800</t>
  </si>
  <si>
    <t>NBOZMKV02200</t>
  </si>
  <si>
    <t>2026-02-13 17:42:54</t>
  </si>
  <si>
    <t>2026-02-25 13:14:00</t>
  </si>
  <si>
    <t>2026-01-14 21:02:29</t>
  </si>
  <si>
    <t>2026-01-18 19:55:18</t>
  </si>
  <si>
    <t>HDMUNBOZMKV02200</t>
  </si>
  <si>
    <t>NBOZMGP38900</t>
  </si>
  <si>
    <t>2026-02-13 17:44:00</t>
  </si>
  <si>
    <t>2026-02-25 14:46:00</t>
  </si>
  <si>
    <t>HDMUNBOZMGP38900</t>
  </si>
  <si>
    <t>NBOZKJ704200</t>
  </si>
  <si>
    <t>2026-02-13 17:43:55</t>
  </si>
  <si>
    <t>2026-02-25 08:04:00</t>
  </si>
  <si>
    <t>2026-01-14 21:02:20</t>
  </si>
  <si>
    <t>2026-01-18 19:54:22</t>
  </si>
  <si>
    <t>HDMUNBOZKJ704200</t>
  </si>
  <si>
    <t>NBOZJ0548000</t>
  </si>
  <si>
    <t>2026-02-13 17:43:49</t>
  </si>
  <si>
    <t>2026-02-26 02:52:00</t>
  </si>
  <si>
    <t>2026-01-19 19:53:15</t>
  </si>
  <si>
    <t>HDMUNBOZJ0548000</t>
  </si>
  <si>
    <t>NBOZHAC33600</t>
  </si>
  <si>
    <t>2026-02-13 17:42:13</t>
  </si>
  <si>
    <t>2026-02-25 08:47:00</t>
  </si>
  <si>
    <t>2026-01-19 19:55:39</t>
  </si>
  <si>
    <t>HDMUNBOZHAC33600</t>
  </si>
  <si>
    <t>NBOZGFK61700</t>
  </si>
  <si>
    <t>2026-02-26 04:28:00</t>
  </si>
  <si>
    <t>HDMUNBOZGFK61700</t>
  </si>
  <si>
    <t>NBOZFMX20400</t>
  </si>
  <si>
    <t>2026-02-13 17:43:39</t>
  </si>
  <si>
    <t>2026-02-26 01:21:00</t>
  </si>
  <si>
    <t>2026-01-14 21:02:21</t>
  </si>
  <si>
    <t>HDMUNBOZFMX20400</t>
  </si>
  <si>
    <t>NBOZEU262900</t>
  </si>
  <si>
    <t>2026-02-13 17:43:33</t>
  </si>
  <si>
    <t>2026-02-26 01:23:00</t>
  </si>
  <si>
    <t>2026-01-18 19:54:23</t>
  </si>
  <si>
    <t>HDMUNBOZEU262900</t>
  </si>
  <si>
    <t>NBOZ99F87500</t>
  </si>
  <si>
    <t>2026-02-13 17:43:28</t>
  </si>
  <si>
    <t>2026-02-25 15:14:00</t>
  </si>
  <si>
    <t>2026-01-14 21:02:22</t>
  </si>
  <si>
    <t>2026-01-19 19:53:16</t>
  </si>
  <si>
    <t>HDMUNBOZ99F87500</t>
  </si>
  <si>
    <t>NBOZ8S314000</t>
  </si>
  <si>
    <t>2026-02-13 17:43:23</t>
  </si>
  <si>
    <t>2026-02-26 02:26:00</t>
  </si>
  <si>
    <t>2026-01-18 19:54:24</t>
  </si>
  <si>
    <t>HDMUNBOZ8S314000</t>
  </si>
  <si>
    <t>NBOZ8EF69900</t>
  </si>
  <si>
    <t>2026-02-13 17:42:38</t>
  </si>
  <si>
    <t>2026-02-25 08:02:00</t>
  </si>
  <si>
    <t>2026-01-14 21:02:30</t>
  </si>
  <si>
    <t>2026-01-18 19:55:19</t>
  </si>
  <si>
    <t>HDMUNBOZ8EF69900</t>
  </si>
  <si>
    <t>NBOZ43X52800</t>
  </si>
  <si>
    <t>2026-02-13 17:42:23</t>
  </si>
  <si>
    <t>2026-02-25 09:07:00</t>
  </si>
  <si>
    <t>2026-01-14 21:02:31</t>
  </si>
  <si>
    <t>2026-01-18 19:55:20</t>
  </si>
  <si>
    <t>HDMUNBOZ43X52800</t>
  </si>
  <si>
    <t>NBOZ2CW54300</t>
  </si>
  <si>
    <t>2026-02-13 17:43:18</t>
  </si>
  <si>
    <t>2026-02-26 04:33:00</t>
  </si>
  <si>
    <t>HDMUNBOZ2CW54300</t>
  </si>
  <si>
    <t>NBOZXC129700</t>
  </si>
  <si>
    <t>2026-03-15 06:00:00</t>
  </si>
  <si>
    <t>ONE IBIS</t>
  </si>
  <si>
    <t>036E</t>
  </si>
  <si>
    <t>2026-01-26 21:02:26</t>
  </si>
  <si>
    <t>2026-01-30 20:03:28</t>
  </si>
  <si>
    <t>HDMUNBOZXC129700</t>
  </si>
  <si>
    <t>NBOZUMH64400</t>
  </si>
  <si>
    <t>2026-01-30 20:03:29</t>
  </si>
  <si>
    <t>HDMUNBOZUMH64400</t>
  </si>
  <si>
    <t>NBOZTF865400</t>
  </si>
  <si>
    <t>2026-03-05 16:00:00</t>
  </si>
  <si>
    <t>2026-02-13 15:48:45</t>
  </si>
  <si>
    <t>YM TRAVEL</t>
  </si>
  <si>
    <t>025E</t>
  </si>
  <si>
    <t>2026-01-26 21:02:28</t>
  </si>
  <si>
    <t>2026-01-29 20:06:55</t>
  </si>
  <si>
    <t>HDMUNBOZTF865400</t>
  </si>
  <si>
    <t>NBOZR8008800</t>
  </si>
  <si>
    <t>2026-01-30 20:03:31</t>
  </si>
  <si>
    <t>HDMUNBOZR8008800</t>
  </si>
  <si>
    <t>NBOZR3616800</t>
  </si>
  <si>
    <t>2026-01-30 20:03:32</t>
  </si>
  <si>
    <t>HDMUNBOZR3616800</t>
  </si>
  <si>
    <t>NBOZPMW33500</t>
  </si>
  <si>
    <t>HDMUNBOZPMW33500</t>
  </si>
  <si>
    <t>NBOZNXU77900</t>
  </si>
  <si>
    <t>2026-01-26 21:02:27</t>
  </si>
  <si>
    <t>2026-01-30 20:03:30</t>
  </si>
  <si>
    <t>HDMUNBOZNXU77900</t>
  </si>
  <si>
    <t>NBOZLXK18600</t>
  </si>
  <si>
    <t>HDMUNBOZLXK18600</t>
  </si>
  <si>
    <t>NBOZGYN11700</t>
  </si>
  <si>
    <t>HDMUNBOZGYN11700</t>
  </si>
  <si>
    <t>NBOZEY007400</t>
  </si>
  <si>
    <t>2026-01-26 21:02:29</t>
  </si>
  <si>
    <t>2026-01-30 20:03:33</t>
  </si>
  <si>
    <t>HDMUNBOZEY007400</t>
  </si>
  <si>
    <t>NBOZ7WJ07600</t>
  </si>
  <si>
    <t>2026-01-26 21:02:30</t>
  </si>
  <si>
    <t>2026-01-30 20:03:34</t>
  </si>
  <si>
    <t>HDMUNBOZ7WJ07600</t>
  </si>
  <si>
    <t>NBOZ5NN75900</t>
  </si>
  <si>
    <t>HDMUNBOZ5NN75900</t>
  </si>
  <si>
    <t>NBOZ4NX43900</t>
  </si>
  <si>
    <t>HDMUNBOZ4NX43900</t>
  </si>
  <si>
    <t>NBOZ1QK04700</t>
  </si>
  <si>
    <t>2026-01-30 20:03:35</t>
  </si>
  <si>
    <t>HDMUNBOZ1QK04700</t>
  </si>
  <si>
    <t>NBOZ10X25800</t>
  </si>
  <si>
    <t>2026-01-30 20:03:36</t>
  </si>
  <si>
    <t>HDMUNBOZ10X25800</t>
  </si>
  <si>
    <t>NBOZZGT66700</t>
  </si>
  <si>
    <t>2026-01-26 16:08:00</t>
  </si>
  <si>
    <t>HYUNDAI PLUTO</t>
  </si>
  <si>
    <t>044E</t>
  </si>
  <si>
    <t>2026-01-19 21:02:12</t>
  </si>
  <si>
    <t>2026-01-24 20:01:22</t>
  </si>
  <si>
    <t>HDMUNBOZZGT66700</t>
  </si>
  <si>
    <t>NBOZY9J00700</t>
  </si>
  <si>
    <t>2026-02-13 16:00:56</t>
  </si>
  <si>
    <t>2026-01-24 20:01:23</t>
  </si>
  <si>
    <t>HDMUNBOZY9J00700</t>
  </si>
  <si>
    <t>NBOZXUW26400</t>
  </si>
  <si>
    <t>2026-02-13 16:00:50</t>
  </si>
  <si>
    <t>HDMUNBOZXUW26400</t>
  </si>
  <si>
    <t>NBOZUX974700</t>
  </si>
  <si>
    <t>2026-02-13 17:41:42</t>
  </si>
  <si>
    <t>2026-01-24 20:01:40</t>
  </si>
  <si>
    <t>HDMUNBOZUX974700</t>
  </si>
  <si>
    <t>NBOZUNZ52400</t>
  </si>
  <si>
    <t>2026-01-26 13:29:00</t>
  </si>
  <si>
    <t>2026-01-19 21:02:13</t>
  </si>
  <si>
    <t>2026-01-24 20:01:25</t>
  </si>
  <si>
    <t>HDMUNBOZUNZ52400</t>
  </si>
  <si>
    <t>NBOZQAE49900</t>
  </si>
  <si>
    <t>2026-01-26 18:15:00</t>
  </si>
  <si>
    <t>2026-01-24 20:01:26</t>
  </si>
  <si>
    <t>HDMUNBOZQAE49900</t>
  </si>
  <si>
    <t>NBOZ05M13700</t>
  </si>
  <si>
    <t>2026-01-26 12:41:00</t>
  </si>
  <si>
    <t>HDMUNBOZ05M13700</t>
  </si>
  <si>
    <t>NBOZK7689200</t>
  </si>
  <si>
    <t>2026-01-26 15:32:00</t>
  </si>
  <si>
    <t>2026-01-19 21:02:16</t>
  </si>
  <si>
    <t>2026-01-24 20:01:39</t>
  </si>
  <si>
    <t>HDMUNBOZK7689200</t>
  </si>
  <si>
    <t>NBOZJGJ69900</t>
  </si>
  <si>
    <t>2026-02-13 17:41:48</t>
  </si>
  <si>
    <t>2026-01-19 21:02:14</t>
  </si>
  <si>
    <t>2026-01-24 20:01:27</t>
  </si>
  <si>
    <t>HDMUNBOZJGJ69900</t>
  </si>
  <si>
    <t>NBOZCSW75100</t>
  </si>
  <si>
    <t>2026-02-13 17:34:17</t>
  </si>
  <si>
    <t>HDMUNBOZCSW75100</t>
  </si>
  <si>
    <t>NBOZ0WW89000</t>
  </si>
  <si>
    <t>2026-01-26 11:50:00</t>
  </si>
  <si>
    <t>HDMUNBOZ0WW89000</t>
  </si>
  <si>
    <t>263605008</t>
  </si>
  <si>
    <t>2026-03-01 08:00:00</t>
  </si>
  <si>
    <t>2026-02-13 17:45:09</t>
  </si>
  <si>
    <t>2026-01-13 06:09:00</t>
  </si>
  <si>
    <t>2026-03-04 12:00:00</t>
  </si>
  <si>
    <t>2026-01-07 21:01:51</t>
  </si>
  <si>
    <t>2026-01-11 20:24:23</t>
  </si>
  <si>
    <t>MAEU263605008</t>
  </si>
  <si>
    <t>264987232</t>
  </si>
  <si>
    <t>2026-03-14 08:00:00</t>
  </si>
  <si>
    <t>2026-02-02 10:17:00</t>
  </si>
  <si>
    <t>2026-03-27 23:59:59</t>
  </si>
  <si>
    <t>MAEU264987232</t>
  </si>
  <si>
    <t>263605025</t>
  </si>
  <si>
    <t>2026-02-13 17:44:26</t>
  </si>
  <si>
    <t>2026-01-19 19:32:00</t>
  </si>
  <si>
    <t>2026-01-17 19:53:33</t>
  </si>
  <si>
    <t>MAEU263605025</t>
  </si>
  <si>
    <t>263605036</t>
  </si>
  <si>
    <t>2026-02-13 17:44:21</t>
  </si>
  <si>
    <t>2026-01-19 18:47:00</t>
  </si>
  <si>
    <t>2026-01-13 21:02:15</t>
  </si>
  <si>
    <t>MAEU263605036</t>
  </si>
  <si>
    <t>263605839</t>
  </si>
  <si>
    <t>2026-03-18 07:30:00</t>
  </si>
  <si>
    <t>2026-01-17 19:53:34</t>
  </si>
  <si>
    <t>MAEU263605839</t>
  </si>
  <si>
    <t>2026-02-01 00:00:00</t>
  </si>
  <si>
    <t>263605820</t>
  </si>
  <si>
    <t>2026-01-17 19:53:35</t>
  </si>
  <si>
    <t>MAEU263605820</t>
  </si>
  <si>
    <t>263605809</t>
  </si>
  <si>
    <t>2026-01-13 21:02:16</t>
  </si>
  <si>
    <t>MAEU263605809</t>
  </si>
  <si>
    <t>263605874</t>
  </si>
  <si>
    <t>2026-03-04 12:30:00</t>
  </si>
  <si>
    <t>2026-03-09 12:00:00</t>
  </si>
  <si>
    <t>2026-03-10 00:00:00</t>
  </si>
  <si>
    <t>MAEU263605874</t>
  </si>
  <si>
    <t>263605867</t>
  </si>
  <si>
    <t>2026-01-11 20:24:24</t>
  </si>
  <si>
    <t>MAEU263605867</t>
  </si>
  <si>
    <t>263851793</t>
  </si>
  <si>
    <t>2026-03-25 07:30:00</t>
  </si>
  <si>
    <t>26505N</t>
  </si>
  <si>
    <t>2026-01-28 21:02:32</t>
  </si>
  <si>
    <t>2026-02-01 20:06:24</t>
  </si>
  <si>
    <t>MAEU263851793</t>
  </si>
  <si>
    <t>177WBQBQN0A922A</t>
  </si>
  <si>
    <t>2026-02-13 17:42:09</t>
  </si>
  <si>
    <t>2026-01-16 21:02:38</t>
  </si>
  <si>
    <t>2026-01-21 19:58:00</t>
  </si>
  <si>
    <t>MEDUKY811177</t>
  </si>
  <si>
    <t>177WBQBQN0A921A</t>
  </si>
  <si>
    <t>2026-02-13 17:42:04</t>
  </si>
  <si>
    <t>2026-01-20 19:58:30</t>
  </si>
  <si>
    <t>MEDUKY811144</t>
  </si>
  <si>
    <t>177WBQBQN0A920A</t>
  </si>
  <si>
    <t>2026-02-13 17:41:58</t>
  </si>
  <si>
    <t>MEDUKY811094</t>
  </si>
  <si>
    <t>177WBQBQN0A919A</t>
  </si>
  <si>
    <t>2026-02-13 17:41:53</t>
  </si>
  <si>
    <t>2026-01-16 21:02:39</t>
  </si>
  <si>
    <t>2026-01-21 19:58:01</t>
  </si>
  <si>
    <t>MEDUKY811086</t>
  </si>
  <si>
    <t>177WBQBQN0A918A</t>
  </si>
  <si>
    <t>2026-01-21 19:58:02</t>
  </si>
  <si>
    <t>MEDUKY811060</t>
  </si>
  <si>
    <t>177WBQBQN0A917A</t>
  </si>
  <si>
    <t>2026-02-13 20:11:20</t>
  </si>
  <si>
    <t>MEDUKY811052</t>
  </si>
  <si>
    <t>NBOZZEC04100</t>
  </si>
  <si>
    <t>2026-02-26 21:30:00</t>
  </si>
  <si>
    <t>2026-02-13 15:52:09</t>
  </si>
  <si>
    <t>CONTI CONTESSA</t>
  </si>
  <si>
    <t>023E</t>
  </si>
  <si>
    <t>2026-01-24 21:02:00</t>
  </si>
  <si>
    <t>2026-01-29 20:02:19</t>
  </si>
  <si>
    <t>HDMUNBOZZEC04100</t>
  </si>
  <si>
    <t>NBOZXRZ17000</t>
  </si>
  <si>
    <t>2026-02-13 17:29:30</t>
  </si>
  <si>
    <t>2026-01-25 21:01:51</t>
  </si>
  <si>
    <t>2026-01-29 20:04:01</t>
  </si>
  <si>
    <t>HDMUNBOZXRZ17000</t>
  </si>
  <si>
    <t>NBOZX8617100</t>
  </si>
  <si>
    <t>2026-02-13 17:29:34</t>
  </si>
  <si>
    <t>2026-01-24 21:02:05</t>
  </si>
  <si>
    <t>2026-01-29 20:02:35</t>
  </si>
  <si>
    <t>HDMUNBOZX8617100</t>
  </si>
  <si>
    <t>NBOZUQH86200</t>
  </si>
  <si>
    <t>2026-02-13 15:52:02</t>
  </si>
  <si>
    <t>HDMUNBOZUQH86200</t>
  </si>
  <si>
    <t>NBOZU6F41300</t>
  </si>
  <si>
    <t>2026-02-13 20:13:14</t>
  </si>
  <si>
    <t>2026-01-24 21:02:01</t>
  </si>
  <si>
    <t>2026-01-29 20:02:20</t>
  </si>
  <si>
    <t>HDMUNBOZU6F41300</t>
  </si>
  <si>
    <t>NBOZS2229600</t>
  </si>
  <si>
    <t>2026-02-13 16:00:36</t>
  </si>
  <si>
    <t>HDMUNBOZS2229600</t>
  </si>
  <si>
    <t>NBOZRZ059400</t>
  </si>
  <si>
    <t>2026-02-13 17:34:14</t>
  </si>
  <si>
    <t>2026-01-30 20:00:20</t>
  </si>
  <si>
    <t>HDMUNBOZRZ059400</t>
  </si>
  <si>
    <t>NBOZRLQ11200</t>
  </si>
  <si>
    <t>2026-01-24 21:02:02</t>
  </si>
  <si>
    <t>2026-01-29 20:02:21</t>
  </si>
  <si>
    <t>HDMUNBOZRLQ11200</t>
  </si>
  <si>
    <t>NBOZPYY87200</t>
  </si>
  <si>
    <t>2026-03-04 21:30:00</t>
  </si>
  <si>
    <t>2026-02-13 15:51:43</t>
  </si>
  <si>
    <t>2026-01-31 09:30:00</t>
  </si>
  <si>
    <t>2026-01-29 20:02:22</t>
  </si>
  <si>
    <t>HDMUNBOZPYY87200</t>
  </si>
  <si>
    <t>NBOZC2R46000</t>
  </si>
  <si>
    <t>2026-02-13 15:51:35</t>
  </si>
  <si>
    <t>2026-01-31 09:46:00</t>
  </si>
  <si>
    <t>2026-03-11 00:00:00</t>
  </si>
  <si>
    <t>HDMUNBOZC2R46000</t>
  </si>
  <si>
    <t>NBOZ87T05200</t>
  </si>
  <si>
    <t>2026-02-13 20:13:32</t>
  </si>
  <si>
    <t>2026-01-31 09:56:00</t>
  </si>
  <si>
    <t>2026-01-25 21:01:50</t>
  </si>
  <si>
    <t>2026-01-29 20:03:51</t>
  </si>
  <si>
    <t>HDMUNBOZ87T05200</t>
  </si>
  <si>
    <t>NBOZ80W86900</t>
  </si>
  <si>
    <t>2026-02-13 20:13:16</t>
  </si>
  <si>
    <t>2026-01-24 21:02:04</t>
  </si>
  <si>
    <t>2026-01-29 20:02:25</t>
  </si>
  <si>
    <t>HDMUNBOZ80W86900</t>
  </si>
  <si>
    <t>NBOZ64M14400</t>
  </si>
  <si>
    <t>2026-02-13 15:51:29</t>
  </si>
  <si>
    <t>2026-01-31 08:55:00</t>
  </si>
  <si>
    <t>2026-01-24 21:02:03</t>
  </si>
  <si>
    <t>2026-01-29 20:02:23</t>
  </si>
  <si>
    <t>HDMUNBOZ64M14400</t>
  </si>
  <si>
    <t>NBOZ82L33100</t>
  </si>
  <si>
    <t>2026-02-13 20:13:15</t>
  </si>
  <si>
    <t>2026-01-31 08:52:00</t>
  </si>
  <si>
    <t>2026-01-29 20:02:24</t>
  </si>
  <si>
    <t>HDMUNBOZ82L33100</t>
  </si>
  <si>
    <t>NBOZ24H19900</t>
  </si>
  <si>
    <t>2026-02-13 15:51:24</t>
  </si>
  <si>
    <t>2026-01-31 08:49:00</t>
  </si>
  <si>
    <t>HDMUNBOZ24H19900</t>
  </si>
  <si>
    <t>NBOZXNY79700</t>
  </si>
  <si>
    <t>2026-02-12 21:11:00</t>
  </si>
  <si>
    <t>2026-02-13 20:06:58</t>
  </si>
  <si>
    <t>2026-02-12 13:11:00</t>
  </si>
  <si>
    <t>2026-02-13 06:50:00</t>
  </si>
  <si>
    <t>USNYCHOW</t>
  </si>
  <si>
    <t>2026-02-20 05:44:22</t>
  </si>
  <si>
    <t>2026-02-22 09:39:00</t>
  </si>
  <si>
    <t>2026-02-19 14:42:00</t>
  </si>
  <si>
    <t>2026-02-20 14:42:00</t>
  </si>
  <si>
    <t>2026-02-26 14:14:00</t>
  </si>
  <si>
    <t>HYUNDAI SATURN</t>
  </si>
  <si>
    <t>051E</t>
  </si>
  <si>
    <t>2026-01-14 20:24:59</t>
  </si>
  <si>
    <t>HDMUNBOZXNY79700</t>
  </si>
  <si>
    <t>2026-02-22 04:20:06</t>
  </si>
  <si>
    <t>NBOZWRV05300</t>
  </si>
  <si>
    <t>2026-02-13 20:06:59</t>
  </si>
  <si>
    <t>2026-02-12 20:37:00</t>
  </si>
  <si>
    <t>2026-02-18 05:39:10</t>
  </si>
  <si>
    <t>2026-02-19 12:39:28</t>
  </si>
  <si>
    <t>2026-02-16 11:00:00</t>
  </si>
  <si>
    <t>2026-02-18 12:58:00</t>
  </si>
  <si>
    <t>2026-02-17 11:00:00</t>
  </si>
  <si>
    <t>2026-02-20 06:43:00</t>
  </si>
  <si>
    <t>2026-02-19 12:00:17</t>
  </si>
  <si>
    <t>2026-01-09 21:26:02</t>
  </si>
  <si>
    <t>2026-01-13 20:30:48</t>
  </si>
  <si>
    <t>HDMUNBOZWRV05300</t>
  </si>
  <si>
    <t>2026-02-19 09:37:53</t>
  </si>
  <si>
    <t>NBOZTQP06300</t>
  </si>
  <si>
    <t>2026-02-13 20:07:00</t>
  </si>
  <si>
    <t>2026-02-12 23:49:00</t>
  </si>
  <si>
    <t>GCT BAYONNE</t>
  </si>
  <si>
    <t>2026-02-18 05:38:43</t>
  </si>
  <si>
    <t>2026-02-19 05:40:21</t>
  </si>
  <si>
    <t>2026-02-18 10:33:00</t>
  </si>
  <si>
    <t>2026-02-20 09:21:00</t>
  </si>
  <si>
    <t>HDMUNBOZTQP06300</t>
  </si>
  <si>
    <t>2026-02-18 12:12:14</t>
  </si>
  <si>
    <t>NBOZT9514700</t>
  </si>
  <si>
    <t>2026-02-13 20:07:01</t>
  </si>
  <si>
    <t>2026-02-14 02:40:00</t>
  </si>
  <si>
    <t>2026-02-20 05:45:45</t>
  </si>
  <si>
    <t>2026-02-25 05:40:06</t>
  </si>
  <si>
    <t>2026-02-19 15:39:00</t>
  </si>
  <si>
    <t>2026-02-20 15:39:00</t>
  </si>
  <si>
    <t>2026-02-26 14:51:00</t>
  </si>
  <si>
    <t>2026-01-13 20:30:49</t>
  </si>
  <si>
    <t>HDMUNBOZT9514700</t>
  </si>
  <si>
    <t>2026-02-24 11:30:57</t>
  </si>
  <si>
    <t>NBOZQ6M22400</t>
  </si>
  <si>
    <t>2026-02-13 08:36:00</t>
  </si>
  <si>
    <t>2026-02-20 05:44:08</t>
  </si>
  <si>
    <t>2026-02-20 08:40:17</t>
  </si>
  <si>
    <t>2026-02-19 10:38:00</t>
  </si>
  <si>
    <t>2026-02-20 10:38:00</t>
  </si>
  <si>
    <t>2026-02-26 10:10:00</t>
  </si>
  <si>
    <t>2026-01-15 20:24:49</t>
  </si>
  <si>
    <t>HDMUNBOZQ6M22400</t>
  </si>
  <si>
    <t>2026-02-20 05:39:24</t>
  </si>
  <si>
    <t>NBOZQ5P92900</t>
  </si>
  <si>
    <t>2026-02-13 20:07:02</t>
  </si>
  <si>
    <t>2026-02-14 01:31:00</t>
  </si>
  <si>
    <t>2026-02-20 05:46:05</t>
  </si>
  <si>
    <t>2026-02-20 10:38:59</t>
  </si>
  <si>
    <t>2026-02-19 11:55:00</t>
  </si>
  <si>
    <t>2026-02-20 11:55:00</t>
  </si>
  <si>
    <t>2026-01-09 21:26:03</t>
  </si>
  <si>
    <t>HDMUNBOZQ5P92900</t>
  </si>
  <si>
    <t>2026-02-20 07:20:43</t>
  </si>
  <si>
    <t>NBOZPVF31400</t>
  </si>
  <si>
    <t>2026-02-13 20:07:03</t>
  </si>
  <si>
    <t>2026-02-14 00:23:00</t>
  </si>
  <si>
    <t>2026-02-20 05:41:10</t>
  </si>
  <si>
    <t>2026-02-20 11:39:27</t>
  </si>
  <si>
    <t>2026-02-19 08:27:00</t>
  </si>
  <si>
    <t>2026-02-20 08:27:00</t>
  </si>
  <si>
    <t>2026-01-13 20:30:50</t>
  </si>
  <si>
    <t>HDMUNBOZPVF31400</t>
  </si>
  <si>
    <t>2026-02-20 09:39:20</t>
  </si>
  <si>
    <t>NBOZLKX11500</t>
  </si>
  <si>
    <t>2026-02-13 20:07:04</t>
  </si>
  <si>
    <t>2026-02-14 03:31:00</t>
  </si>
  <si>
    <t>2026-02-20 05:41:31</t>
  </si>
  <si>
    <t>2026-02-25 07:08:58</t>
  </si>
  <si>
    <t>2026-02-19 08:54:00</t>
  </si>
  <si>
    <t>2026-02-20 08:54:00</t>
  </si>
  <si>
    <t>2026-01-14 20:25:00</t>
  </si>
  <si>
    <t>HDMUNBOZLKX11500</t>
  </si>
  <si>
    <t>2026-02-22 11:32:53</t>
  </si>
  <si>
    <t>NBOZL2879100</t>
  </si>
  <si>
    <t>2026-02-13 20:07:06</t>
  </si>
  <si>
    <t>2026-02-13 21:43:00</t>
  </si>
  <si>
    <t>2026-02-20 05:41:45</t>
  </si>
  <si>
    <t>2026-02-24 08:39:17</t>
  </si>
  <si>
    <t>2026-02-20 09:00:00</t>
  </si>
  <si>
    <t>2026-02-21 09:00:00</t>
  </si>
  <si>
    <t>2026-01-09 21:26:04</t>
  </si>
  <si>
    <t>2026-01-15 20:24:50</t>
  </si>
  <si>
    <t>HDMUNBOZL2879100</t>
  </si>
  <si>
    <t>2026-02-22 09:45:28</t>
  </si>
  <si>
    <t>NBOZFAR60200</t>
  </si>
  <si>
    <t>2026-02-12 20:46:00</t>
  </si>
  <si>
    <t>2026-02-17 05:38:27</t>
  </si>
  <si>
    <t>2026-02-19 05:40:01</t>
  </si>
  <si>
    <t>2026-02-17 15:27:00</t>
  </si>
  <si>
    <t>2026-02-20 09:26:00</t>
  </si>
  <si>
    <t>2026-01-13 20:30:51</t>
  </si>
  <si>
    <t>HDMUNBOZFAR60200</t>
  </si>
  <si>
    <t>2026-02-18 09:58:56</t>
  </si>
  <si>
    <t>NBOZCLQ90400</t>
  </si>
  <si>
    <t>2026-02-13 20:07:05</t>
  </si>
  <si>
    <t>2026-02-13 11:54:00</t>
  </si>
  <si>
    <t>2026-02-20 05:41:59</t>
  </si>
  <si>
    <t>2026-02-20 06:39:28</t>
  </si>
  <si>
    <t>2026-02-19 10:54:00</t>
  </si>
  <si>
    <t>2026-02-20 13:22:00</t>
  </si>
  <si>
    <t>HDMUNBOZCLQ90400</t>
  </si>
  <si>
    <t>2026-02-19 11:57:29</t>
  </si>
  <si>
    <t>NBOZA1G13600</t>
  </si>
  <si>
    <t>2026-02-13 20:07:07</t>
  </si>
  <si>
    <t>2026-02-13 20:42:00</t>
  </si>
  <si>
    <t>2026-02-20 05:42:18</t>
  </si>
  <si>
    <t>2026-02-22 02:38:52</t>
  </si>
  <si>
    <t>2026-02-20 08:47:00</t>
  </si>
  <si>
    <t>2026-02-21 08:47:00</t>
  </si>
  <si>
    <t>2026-01-09 21:26:05</t>
  </si>
  <si>
    <t>2026-01-13 20:30:52</t>
  </si>
  <si>
    <t>HDMUNBOZA1G13600</t>
  </si>
  <si>
    <t>2026-02-20 10:04:49</t>
  </si>
  <si>
    <t>NBOZ6Z092800</t>
  </si>
  <si>
    <t>2026-02-13 20:07:08</t>
  </si>
  <si>
    <t>2026-02-13 20:39:00</t>
  </si>
  <si>
    <t>2026-02-20 05:42:32</t>
  </si>
  <si>
    <t>2026-02-25 05:39:53</t>
  </si>
  <si>
    <t>2026-02-20 09:52:00</t>
  </si>
  <si>
    <t>2026-02-21 09:52:00</t>
  </si>
  <si>
    <t>2026-01-15 20:24:51</t>
  </si>
  <si>
    <t>HDMUNBOZ6Z092800</t>
  </si>
  <si>
    <t>2026-02-24 10:30:39</t>
  </si>
  <si>
    <t>NBOZ4NA86000</t>
  </si>
  <si>
    <t>2026-02-14 07:28:00</t>
  </si>
  <si>
    <t>2026-02-20 05:43:39</t>
  </si>
  <si>
    <t>2026-02-24 09:10:14</t>
  </si>
  <si>
    <t>2026-02-20 09:14:00</t>
  </si>
  <si>
    <t>2026-02-21 09:14:00</t>
  </si>
  <si>
    <t>2026-01-15 20:24:52</t>
  </si>
  <si>
    <t>HDMUNBOZ4NA86000</t>
  </si>
  <si>
    <t>2026-02-24 04:16:32</t>
  </si>
  <si>
    <t>NBOZ3HT69800</t>
  </si>
  <si>
    <t>2026-02-13 20:07:09</t>
  </si>
  <si>
    <t>2026-02-13 11:34:00</t>
  </si>
  <si>
    <t>2026-02-20 05:45:31</t>
  </si>
  <si>
    <t>2026-02-25 05:40:08</t>
  </si>
  <si>
    <t>2026-02-20 09:04:00</t>
  </si>
  <si>
    <t>2026-02-21 09:04:00</t>
  </si>
  <si>
    <t>2026-02-26 14:27:00</t>
  </si>
  <si>
    <t>2026-01-09 21:26:06</t>
  </si>
  <si>
    <t>2026-01-14 20:25:02</t>
  </si>
  <si>
    <t>HDMUNBOZ3HT69800</t>
  </si>
  <si>
    <t>2026-02-24 07:50:47</t>
  </si>
  <si>
    <t>NBOZWCQ18000</t>
  </si>
  <si>
    <t>2026-02-13 15:41:00</t>
  </si>
  <si>
    <t>2026-02-23 12:39:52</t>
  </si>
  <si>
    <t>2026-02-18 14:42:00</t>
  </si>
  <si>
    <t>2026-02-21 08:35:00</t>
  </si>
  <si>
    <t>2026-01-05 21:02:02</t>
  </si>
  <si>
    <t>HDMUNBOZWCQ18000</t>
  </si>
  <si>
    <t>2026-02-23 10:44:00</t>
  </si>
  <si>
    <t>NBOZMS048600</t>
  </si>
  <si>
    <t>2026-02-13 16:17:00</t>
  </si>
  <si>
    <t>2026-02-23 08:39:16</t>
  </si>
  <si>
    <t>2026-02-18 14:43:00</t>
  </si>
  <si>
    <t>2026-02-24 10:33:00</t>
  </si>
  <si>
    <t>2026-01-09 20:22:54</t>
  </si>
  <si>
    <t>HDMUNBOZMS048600</t>
  </si>
  <si>
    <t>2026-02-23 05:45:48</t>
  </si>
  <si>
    <t>NBOZMFZ05500</t>
  </si>
  <si>
    <t>2026-02-13 16:07:00</t>
  </si>
  <si>
    <t>2026-02-20 13:38:48</t>
  </si>
  <si>
    <t>2026-02-18 13:26:00</t>
  </si>
  <si>
    <t>2026-02-21 08:50:00</t>
  </si>
  <si>
    <t>2026-01-09 20:22:55</t>
  </si>
  <si>
    <t>HDMUNBOZMFZ05500</t>
  </si>
  <si>
    <t>2026-02-20 11:11:14</t>
  </si>
  <si>
    <t>NBOZF1674800</t>
  </si>
  <si>
    <t>2026-02-14 08:55:00</t>
  </si>
  <si>
    <t>2026-02-19 13:21:00</t>
  </si>
  <si>
    <t>2026-01-13 20:21:48</t>
  </si>
  <si>
    <t>HDMUNBOZF1674800</t>
  </si>
  <si>
    <t>NBOZ4JQ17100</t>
  </si>
  <si>
    <t>2026-02-13 10:20:00</t>
  </si>
  <si>
    <t>2026-02-18 14:46:00</t>
  </si>
  <si>
    <t>2026-01-05 21:02:03</t>
  </si>
  <si>
    <t>2026-01-14 20:20:07</t>
  </si>
  <si>
    <t>HDMUNBOZ4JQ17100</t>
  </si>
  <si>
    <t>177PZJZJS109592</t>
  </si>
  <si>
    <t>2026-01-24 23:59:59</t>
  </si>
  <si>
    <t>2026-01-08 23:54:25</t>
  </si>
  <si>
    <t>2026-02-15 22:05:49</t>
  </si>
  <si>
    <t>2026-02-25 04:39:06</t>
  </si>
  <si>
    <t>2025-12-27 21:02:13</t>
  </si>
  <si>
    <t>2026-01-04 20:13:49</t>
  </si>
  <si>
    <t>MEDUW7567896</t>
  </si>
  <si>
    <t>2026-02-24 06:22:50</t>
  </si>
  <si>
    <t>177PZJZJS109591</t>
  </si>
  <si>
    <t>2026-02-26 11:39:06</t>
  </si>
  <si>
    <t>MEDUW7567888</t>
  </si>
  <si>
    <t>2026-02-26 07:38:18</t>
  </si>
  <si>
    <t>263609689</t>
  </si>
  <si>
    <t>2026-02-13 20:07:39</t>
  </si>
  <si>
    <t>2026-02-17 01:46:00</t>
  </si>
  <si>
    <t>2026-02-27 17:31:49</t>
  </si>
  <si>
    <t>2026-02-19 12:00:00</t>
  </si>
  <si>
    <t>2026-02-20 12:00:00</t>
  </si>
  <si>
    <t>2026-02-18 21:01:55</t>
  </si>
  <si>
    <t>MAEU263609689</t>
  </si>
  <si>
    <t>177PWYWYQ21919V</t>
  </si>
  <si>
    <t>2026-02-13 20:00:59</t>
  </si>
  <si>
    <t>2026-01-07 23:08:32</t>
  </si>
  <si>
    <t>2026-01-04 20:20:05</t>
  </si>
  <si>
    <t>MEDUWA009598</t>
  </si>
  <si>
    <t>177PWYWYQ21920V</t>
  </si>
  <si>
    <t>2026-01-14 20:19:34</t>
  </si>
  <si>
    <t>MEDUWA009622</t>
  </si>
  <si>
    <t>177OWYWYQ30174V</t>
  </si>
  <si>
    <t>2026-01-10 07:00:00</t>
  </si>
  <si>
    <t>2026-02-09 15:38:57</t>
  </si>
  <si>
    <t>MSC JUDITH</t>
  </si>
  <si>
    <t>UK552A</t>
  </si>
  <si>
    <t>2026-01-10 20:19:06</t>
  </si>
  <si>
    <t>MEDUR9925385</t>
  </si>
  <si>
    <t>2026-02-09 13:57:44</t>
  </si>
  <si>
    <t>177QZJZJS109931</t>
  </si>
  <si>
    <t>2026-02-07 16:00:00</t>
  </si>
  <si>
    <t>2026-02-13 20:07:42</t>
  </si>
  <si>
    <t>长滩,加利福尼亚州</t>
  </si>
  <si>
    <t>2026-02-07 16:10:50</t>
  </si>
  <si>
    <t>WEST BASIN CONTAINER TERMINAL</t>
  </si>
  <si>
    <t>2026-02-15 15:39:04</t>
  </si>
  <si>
    <t>MSC RANIA VIII</t>
  </si>
  <si>
    <t>GO602N</t>
  </si>
  <si>
    <t>2026-01-18 19:52:51</t>
  </si>
  <si>
    <t>MEDUW7882832</t>
  </si>
  <si>
    <t>2026-02-13 14:41:56</t>
  </si>
  <si>
    <t>277629210</t>
  </si>
  <si>
    <t>2026-01-18 11:02:00</t>
  </si>
  <si>
    <t>2026-02-11 13:58:00</t>
  </si>
  <si>
    <t>2026-02-18 07:09:15</t>
  </si>
  <si>
    <t>2026-02-16 07:43:00</t>
  </si>
  <si>
    <t>2026-02-19 07:47:00</t>
  </si>
  <si>
    <t>FRANKFURT EXPRESS</t>
  </si>
  <si>
    <t>2026-01-07 21:01:54</t>
  </si>
  <si>
    <t>2026-01-11 20:24:37</t>
  </si>
  <si>
    <t>MAEU277629210</t>
  </si>
  <si>
    <t>2026-02-17 14:07:24</t>
  </si>
  <si>
    <t>277629209</t>
  </si>
  <si>
    <t>2026-01-18 19:06:00</t>
  </si>
  <si>
    <t>2026-02-11 23:40:00</t>
  </si>
  <si>
    <t>2026-02-19 11:08:57</t>
  </si>
  <si>
    <t>2026-02-16 08:20:00</t>
  </si>
  <si>
    <t>2026-02-19 12:30:00</t>
  </si>
  <si>
    <t>2026-01-07 21:01:55</t>
  </si>
  <si>
    <t>MAEU277629209</t>
  </si>
  <si>
    <t>2026-02-19 07:38:15</t>
  </si>
  <si>
    <t>277629208</t>
  </si>
  <si>
    <t>2026-01-19 04:45:00</t>
  </si>
  <si>
    <t>2026-02-13 14:16:00</t>
  </si>
  <si>
    <t>2026-02-19 14:08:44</t>
  </si>
  <si>
    <t>2026-02-17 19:36:00</t>
  </si>
  <si>
    <t>2026-02-20 07:31:00</t>
  </si>
  <si>
    <t>2026-01-07 21:01:52</t>
  </si>
  <si>
    <t>2026-01-11 20:24:25</t>
  </si>
  <si>
    <t>MAEU277629208</t>
  </si>
  <si>
    <t>2026-02-19 10:58:48</t>
  </si>
  <si>
    <t>277629207</t>
  </si>
  <si>
    <t>2026-01-18 11:15:00</t>
  </si>
  <si>
    <t>2026-02-11 13:22:00</t>
  </si>
  <si>
    <t>2026-02-18 12:39:33</t>
  </si>
  <si>
    <t>2026-02-16 08:42:00</t>
  </si>
  <si>
    <t>2026-02-19 07:02:00</t>
  </si>
  <si>
    <t>2026-01-11 20:24:26</t>
  </si>
  <si>
    <t>MAEU277629207</t>
  </si>
  <si>
    <t>2026-02-18 10:51:01</t>
  </si>
  <si>
    <t>277629206</t>
  </si>
  <si>
    <t>2026-02-13 20:06:20</t>
  </si>
  <si>
    <t>2026-01-18 17:21:00</t>
  </si>
  <si>
    <t>2026-02-12 08:38:00</t>
  </si>
  <si>
    <t>2026-02-17 14:08:56</t>
  </si>
  <si>
    <t>2026-02-16 07:46:00</t>
  </si>
  <si>
    <t>2026-02-18 09:21:00</t>
  </si>
  <si>
    <t>2026-01-08 21:01:49</t>
  </si>
  <si>
    <t>2026-01-12 20:25:20</t>
  </si>
  <si>
    <t>MAEU277629206</t>
  </si>
  <si>
    <t>2026-02-17 10:41:25</t>
  </si>
  <si>
    <t>277629205</t>
  </si>
  <si>
    <t>2026-01-18 17:23:00</t>
  </si>
  <si>
    <t>2026-02-12 01:23:00</t>
  </si>
  <si>
    <t>2026-02-16 07:34:00</t>
  </si>
  <si>
    <t>2026-02-18 13:53:00</t>
  </si>
  <si>
    <t>2026-01-07 21:01:53</t>
  </si>
  <si>
    <t>MAEU277629205</t>
  </si>
  <si>
    <t>2026-02-18 08:12:09</t>
  </si>
  <si>
    <t>277629215</t>
  </si>
  <si>
    <t>2026-02-28 07:30:00</t>
  </si>
  <si>
    <t>2026-02-13 17:43:08</t>
  </si>
  <si>
    <t>NHAVA SHEVA EXPRESS</t>
  </si>
  <si>
    <t>MAEU277629215</t>
  </si>
  <si>
    <t>277629214</t>
  </si>
  <si>
    <t>2026-02-13 20:09:36</t>
  </si>
  <si>
    <t>2026-01-24 01:54:32</t>
  </si>
  <si>
    <t>MAEU277629214</t>
  </si>
  <si>
    <t>277629213</t>
  </si>
  <si>
    <t>2026-02-13 17:42:49</t>
  </si>
  <si>
    <t>MAEU277629213</t>
  </si>
  <si>
    <t>277629212</t>
  </si>
  <si>
    <t>2026-02-13 17:43:02</t>
  </si>
  <si>
    <t>2026-01-18 19:54:41</t>
  </si>
  <si>
    <t>MAEU277629212</t>
  </si>
  <si>
    <t>277629211</t>
  </si>
  <si>
    <t>2026-02-13 20:08:53</t>
  </si>
  <si>
    <t>2026-01-14 21:02:25</t>
  </si>
  <si>
    <t>MAEU277629211</t>
  </si>
  <si>
    <t>277629220</t>
  </si>
  <si>
    <t>OSAKA EXPRESS</t>
  </si>
  <si>
    <t>2026-01-25 19:52:29</t>
  </si>
  <si>
    <t>MAEU277629220</t>
  </si>
  <si>
    <t>277629219</t>
  </si>
  <si>
    <t>2026-01-25 19:53:10</t>
  </si>
  <si>
    <t>MAEU277629219</t>
  </si>
  <si>
    <t>277629218</t>
  </si>
  <si>
    <t>2026-01-25 19:52:30</t>
  </si>
  <si>
    <t>MAEU277629218</t>
  </si>
  <si>
    <t>277629217</t>
  </si>
  <si>
    <t>2026-01-14 21:02:26</t>
  </si>
  <si>
    <t>MAEU277629217</t>
  </si>
  <si>
    <t>277629216</t>
  </si>
  <si>
    <t>2026-01-25 19:52:31</t>
  </si>
  <si>
    <t>MAEU277629216</t>
  </si>
  <si>
    <t>277569944</t>
  </si>
  <si>
    <t>南京</t>
  </si>
  <si>
    <t>2026-03-11 07:30:00</t>
  </si>
  <si>
    <t>2026-03-16 12:00:00</t>
  </si>
  <si>
    <t>2026-03-17 12:00:00</t>
  </si>
  <si>
    <t>HENG LONG 16</t>
  </si>
  <si>
    <t>2603</t>
  </si>
  <si>
    <t>2026-01-08 21:01:50</t>
  </si>
  <si>
    <t>2026-01-13 20:28:18</t>
  </si>
  <si>
    <t>MAEU277569944</t>
  </si>
  <si>
    <t>277569948</t>
  </si>
  <si>
    <t>MAEU277569948</t>
  </si>
  <si>
    <t>177UBQBQN0A883A</t>
  </si>
  <si>
    <t>2026-02-13 20:04:18</t>
  </si>
  <si>
    <t>2026-02-15 15:39:15</t>
  </si>
  <si>
    <t>2026-01-04 21:01:53</t>
  </si>
  <si>
    <t>2026-01-08 20:20:36</t>
  </si>
  <si>
    <t>MEDUKY770852</t>
  </si>
  <si>
    <t>2026-02-15 13:42:22</t>
  </si>
  <si>
    <t>177UBQBQN0A882A</t>
  </si>
  <si>
    <t>2026-02-13 20:04:19</t>
  </si>
  <si>
    <t>2026-02-09 15:38:55</t>
  </si>
  <si>
    <t>MEDUKY770837</t>
  </si>
  <si>
    <t>2026-02-09 13:29:09</t>
  </si>
  <si>
    <t>177UBQBQN0A881A</t>
  </si>
  <si>
    <t>2026-02-13 20:04:20</t>
  </si>
  <si>
    <t>2026-02-09 10:39:07</t>
  </si>
  <si>
    <t>2026-01-08 20:20:37</t>
  </si>
  <si>
    <t>MEDUKY770811</t>
  </si>
  <si>
    <t>2026-02-09 08:47:20</t>
  </si>
  <si>
    <t>177UBQBQN0A880A</t>
  </si>
  <si>
    <t>2026-02-13 20:04:21</t>
  </si>
  <si>
    <t>2026-02-11 15:38:58</t>
  </si>
  <si>
    <t>2026-01-04 21:01:54</t>
  </si>
  <si>
    <t>MEDUKY770795</t>
  </si>
  <si>
    <t>2026-02-11 10:30:03</t>
  </si>
  <si>
    <t>177UBQBQN0A879A</t>
  </si>
  <si>
    <t>2026-02-12 14:09:26</t>
  </si>
  <si>
    <t>2026-01-08 20:20:38</t>
  </si>
  <si>
    <t>MEDUKY770787</t>
  </si>
  <si>
    <t>2026-02-12 08:32:57</t>
  </si>
  <si>
    <t>177UBQBQN0A878A</t>
  </si>
  <si>
    <t>2026-02-13 20:04:22</t>
  </si>
  <si>
    <t>2026-02-10 14:09:26</t>
  </si>
  <si>
    <t>MEDUKY770761</t>
  </si>
  <si>
    <t>2026-02-10 11:26:21</t>
  </si>
  <si>
    <t>177UBQBQN0A877A</t>
  </si>
  <si>
    <t>2026-02-13 20:07:10</t>
  </si>
  <si>
    <t>MEDUKY788177</t>
  </si>
  <si>
    <t>2026-02-16 10:03:29</t>
  </si>
  <si>
    <t>177UBQBQN0A876A</t>
  </si>
  <si>
    <t>2026-02-13 20:07:11</t>
  </si>
  <si>
    <t>2026-02-16 15:38:53</t>
  </si>
  <si>
    <t>2026-02-12 18:21:13</t>
  </si>
  <si>
    <t>2026-01-13 20:30:53</t>
  </si>
  <si>
    <t>MEDUKY788151</t>
  </si>
  <si>
    <t>2026-02-16 13:27:20</t>
  </si>
  <si>
    <t>177UBQBQN0A875A</t>
  </si>
  <si>
    <t>2026-02-17 19:05:02</t>
  </si>
  <si>
    <t>MEDUKY788128</t>
  </si>
  <si>
    <t>177UBQBQN0A874A</t>
  </si>
  <si>
    <t>2026-02-13 20:07:12</t>
  </si>
  <si>
    <t>2026-02-15 15:39:16</t>
  </si>
  <si>
    <t>2026-02-12 18:24:58</t>
  </si>
  <si>
    <t>2026-01-09 21:26:07</t>
  </si>
  <si>
    <t>2026-01-15 20:24:53</t>
  </si>
  <si>
    <t>MEDUKY788102</t>
  </si>
  <si>
    <t>2026-02-15 11:04:40</t>
  </si>
  <si>
    <t>177UBQBQN0A873A</t>
  </si>
  <si>
    <t>2026-02-13 20:07:13</t>
  </si>
  <si>
    <t>2026-02-16 14:39:10</t>
  </si>
  <si>
    <t>MEDUKY788078</t>
  </si>
  <si>
    <t>2026-02-16 11:09:09</t>
  </si>
  <si>
    <t>177UBQBQN0A872A</t>
  </si>
  <si>
    <t>2026-02-13 20:07:14</t>
  </si>
  <si>
    <t>2026-02-16 14:39:22</t>
  </si>
  <si>
    <t>2026-01-09 21:26:08</t>
  </si>
  <si>
    <t>2026-01-15 20:24:54</t>
  </si>
  <si>
    <t>MEDUKY788052</t>
  </si>
  <si>
    <t>2026-02-16 12:36:42</t>
  </si>
  <si>
    <t>277629319</t>
  </si>
  <si>
    <t>2026-01-14 21:02:27</t>
  </si>
  <si>
    <t>2026-01-25 19:53:06</t>
  </si>
  <si>
    <t>MAEU277629319</t>
  </si>
  <si>
    <t>277629318</t>
  </si>
  <si>
    <t>2026-01-14 21:02:28</t>
  </si>
  <si>
    <t>MAEU277629318</t>
  </si>
  <si>
    <t>263624976</t>
  </si>
  <si>
    <t>2026-02-13 20:05:22</t>
  </si>
  <si>
    <t>2026-02-20 01:50:00</t>
  </si>
  <si>
    <t>2026-02-26 14:39:04</t>
  </si>
  <si>
    <t>2026-02-24 17:39:26</t>
  </si>
  <si>
    <t>2026-02-26 12:31:00</t>
  </si>
  <si>
    <t>2026-01-06 21:01:40</t>
  </si>
  <si>
    <t>2026-01-10 20:22:06</t>
  </si>
  <si>
    <t>MAEU263624976</t>
  </si>
  <si>
    <t>2026-02-26 11:56:09</t>
  </si>
  <si>
    <t>263624939</t>
  </si>
  <si>
    <t>2026-02-13 20:05:23</t>
  </si>
  <si>
    <t>2026-02-20 15:13:00</t>
  </si>
  <si>
    <t>2026-02-25 13:01:00</t>
  </si>
  <si>
    <t>2026-01-10 20:22:07</t>
  </si>
  <si>
    <t>MAEU263624939</t>
  </si>
  <si>
    <t>277570035</t>
  </si>
  <si>
    <t>2026-02-13 20:12:45</t>
  </si>
  <si>
    <t>2026-02-23 19:39:00</t>
  </si>
  <si>
    <t>2026-02-27 17:59:37</t>
  </si>
  <si>
    <t>HENG LONG 8</t>
  </si>
  <si>
    <t>2604</t>
  </si>
  <si>
    <t>2026-01-22 21:02:05</t>
  </si>
  <si>
    <t>2026-01-26 20:05:55</t>
  </si>
  <si>
    <t>MAEU277570035</t>
  </si>
  <si>
    <t>277570034</t>
  </si>
  <si>
    <t>2026-02-13 20:12:46</t>
  </si>
  <si>
    <t>2026-02-23 19:22:00</t>
  </si>
  <si>
    <t>2026-02-27 17:59:56</t>
  </si>
  <si>
    <t>2026-01-22 21:02:06</t>
  </si>
  <si>
    <t>2026-01-26 20:05:56</t>
  </si>
  <si>
    <t>MAEU277570034</t>
  </si>
  <si>
    <t>277570008</t>
  </si>
  <si>
    <t>2026-02-23 19:56:33</t>
  </si>
  <si>
    <t>2026-02-16 10:35:00</t>
  </si>
  <si>
    <t>2026-02-20 02:18:58</t>
  </si>
  <si>
    <t>2026-02-23 12:09:50</t>
  </si>
  <si>
    <t>2026-02-20 08:15:00</t>
  </si>
  <si>
    <t>2026-02-23 19:01:00</t>
  </si>
  <si>
    <t>2026-01-16 21:02:31</t>
  </si>
  <si>
    <t>2026-01-19 19:56:21</t>
  </si>
  <si>
    <t>MAEU277570008</t>
  </si>
  <si>
    <t>2026-02-23 10:23:31</t>
  </si>
  <si>
    <t>277570007</t>
  </si>
  <si>
    <t>2026-02-13 11:28:56</t>
  </si>
  <si>
    <t>2026-02-13 23:53:00</t>
  </si>
  <si>
    <t>2026-02-19 11:39:07</t>
  </si>
  <si>
    <t>2026-02-18 09:56:00</t>
  </si>
  <si>
    <t>2026-02-20 07:43:00</t>
  </si>
  <si>
    <t>2026-01-19 19:56:22</t>
  </si>
  <si>
    <t>MAEU277570007</t>
  </si>
  <si>
    <t>2026-02-19 09:17:46</t>
  </si>
  <si>
    <t>277569925</t>
  </si>
  <si>
    <t>2026-02-13 20:06:50</t>
  </si>
  <si>
    <t>2026-02-15 00:32:00</t>
  </si>
  <si>
    <t>2026-02-20 14:39:22</t>
  </si>
  <si>
    <t>2026-02-18 13:51:00</t>
  </si>
  <si>
    <t>2026-02-21 12:30:00</t>
  </si>
  <si>
    <t>YONG YU 16</t>
  </si>
  <si>
    <t>2602</t>
  </si>
  <si>
    <t>2026-01-08 21:01:52</t>
  </si>
  <si>
    <t>2026-01-12 20:29:11</t>
  </si>
  <si>
    <t>MAEU277569925</t>
  </si>
  <si>
    <t>2026-02-20 11:25:09</t>
  </si>
  <si>
    <t>277569924</t>
  </si>
  <si>
    <t>2026-02-13 20:06:51</t>
  </si>
  <si>
    <t>2026-02-15 00:26:00</t>
  </si>
  <si>
    <t>2026-02-19 14:38:54</t>
  </si>
  <si>
    <t>2026-02-21 12:31:00</t>
  </si>
  <si>
    <t>2026-01-12 20:29:12</t>
  </si>
  <si>
    <t>MAEU277569924</t>
  </si>
  <si>
    <t>2026-02-19 12:29:38</t>
  </si>
  <si>
    <t>277569911</t>
  </si>
  <si>
    <t>2026-02-13 20:06:52</t>
  </si>
  <si>
    <t>2026-02-14 19:14:00</t>
  </si>
  <si>
    <t>2026-02-18 15:54:00</t>
  </si>
  <si>
    <t>2026-02-21 06:14:00</t>
  </si>
  <si>
    <t>2026-01-08 21:01:53</t>
  </si>
  <si>
    <t>MAEU277569911</t>
  </si>
  <si>
    <t>2026-02-20 08:18:23</t>
  </si>
  <si>
    <t>277569910</t>
  </si>
  <si>
    <t>2026-02-17 01:14:00</t>
  </si>
  <si>
    <t>2026-02-24 12:09:06</t>
  </si>
  <si>
    <t>2026-02-20 20:38:00</t>
  </si>
  <si>
    <t>2026-02-24 07:09:00</t>
  </si>
  <si>
    <t>2026-01-12 20:29:13</t>
  </si>
  <si>
    <t>MAEU277569910</t>
  </si>
  <si>
    <t>2026-02-24 08:08:21</t>
  </si>
  <si>
    <t>277569954</t>
  </si>
  <si>
    <t>2026-01-12 21:02:05</t>
  </si>
  <si>
    <t>2026-01-16 19:56:07</t>
  </si>
  <si>
    <t>MAEU277569954</t>
  </si>
  <si>
    <t>277569958</t>
  </si>
  <si>
    <t>2026-02-13 15:55:35</t>
  </si>
  <si>
    <t>2026-01-19 21:02:15</t>
  </si>
  <si>
    <t>2026-01-24 02:02:57</t>
  </si>
  <si>
    <t>MAEU277569958</t>
  </si>
  <si>
    <t>277569957</t>
  </si>
  <si>
    <t>2026-02-13 15:55:26</t>
  </si>
  <si>
    <t>2026-01-24 02:02:58</t>
  </si>
  <si>
    <t>MAEU277569957</t>
  </si>
  <si>
    <t>277569953</t>
  </si>
  <si>
    <t>2026-02-13 17:35:17</t>
  </si>
  <si>
    <t>LC Logistics Services, Inc</t>
  </si>
  <si>
    <t>2026-01-05 21:02:04</t>
  </si>
  <si>
    <t>2026-01-14 20:20:16</t>
  </si>
  <si>
    <t>MAEU277569953</t>
  </si>
  <si>
    <t>277569915</t>
  </si>
  <si>
    <t>MAEU277569915</t>
  </si>
  <si>
    <t xml:space="preserve">EXCEL </t>
    <phoneticPr fontId="2" type="noConversion"/>
  </si>
  <si>
    <t>eta_dest_port</t>
  </si>
  <si>
    <t>planned_pickup_date</t>
  </si>
  <si>
    <t>40HC</t>
  </si>
  <si>
    <t>在途</t>
  </si>
  <si>
    <t>-</t>
  </si>
  <si>
    <t>USNYC</t>
  </si>
  <si>
    <t>还箱日期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</si>
</sst>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10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CFAF5"/>
        <bgColor indexed="64"/>
      </patternFill>
    </fill>
    <fill>
      <patternFill patternType="solid">
        <fgColor rgb="FFEDF4FF"/>
        <bgColor indexed="64"/>
      </patternFill>
    </fill>
  </fills>
  <borders count="10">
    <border>
      <left/>
      <right/>
      <top/>
      <bottom/>
      <diagonal/>
    </border>
    <border>
      <left style="dotted">
        <color rgb="FFCCCCCC"/>
      </left>
      <right/>
      <top/>
      <bottom/>
      <diagonal/>
    </border>
    <border>
      <left style="medium">
        <color rgb="FFD0CDC4"/>
      </left>
      <right/>
      <top style="medium">
        <color rgb="FFD0CDC4"/>
      </top>
      <bottom/>
      <diagonal/>
    </border>
    <border>
      <left style="dotted">
        <color rgb="FFCCCCCC"/>
      </left>
      <right/>
      <top style="medium">
        <color rgb="FFD0CDC4"/>
      </top>
      <bottom/>
      <diagonal/>
    </border>
    <border>
      <left style="dotted">
        <color rgb="FFCCCCCC"/>
      </left>
      <right style="medium">
        <color rgb="FFD0CDC4"/>
      </right>
      <top style="medium">
        <color rgb="FFD0CDC4"/>
      </top>
      <bottom/>
      <diagonal/>
    </border>
    <border>
      <left style="medium">
        <color rgb="FFD0CDC4"/>
      </left>
      <right/>
      <top/>
      <bottom/>
      <diagonal/>
    </border>
    <border>
      <left style="dotted">
        <color rgb="FFCCCCCC"/>
      </left>
      <right style="medium">
        <color rgb="FFD0CDC4"/>
      </right>
      <top/>
      <bottom/>
      <diagonal/>
    </border>
    <border>
      <left style="medium">
        <color rgb="FFD0CDC4"/>
      </left>
      <right/>
      <top/>
      <bottom style="medium">
        <color rgb="FFD0CDC4"/>
      </bottom>
      <diagonal/>
    </border>
    <border>
      <left style="dotted">
        <color rgb="FFCCCCCC"/>
      </left>
      <right/>
      <top/>
      <bottom style="medium">
        <color rgb="FFD0CDC4"/>
      </bottom>
      <diagonal/>
    </border>
    <border>
      <left style="dotted">
        <color rgb="FFCCCCCC"/>
      </left>
      <right style="medium">
        <color rgb="FFD0CDC4"/>
      </right>
      <top/>
      <bottom style="medium">
        <color rgb="FFD0CDC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0" fillId="3" borderId="0" xfId="0" applyFill="1"/>
    <xf numFmtId="0" fontId="3" fillId="2" borderId="0" xfId="0" applyFont="1" applyFill="1"/>
    <xf numFmtId="22" fontId="0" fillId="0" borderId="0" xfId="0" applyNumberFormat="1"/>
    <xf numFmtId="14" fontId="0" fillId="0" borderId="0" xfId="0" applyNumberFormat="1"/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 wrapText="1"/>
    </xf>
    <xf numFmtId="14" fontId="4" fillId="4" borderId="4" xfId="0" applyNumberFormat="1" applyFont="1" applyFill="1" applyBorder="1" applyAlignment="1">
      <alignment horizontal="left" vertical="top" wrapText="1"/>
    </xf>
    <xf numFmtId="0" fontId="4" fillId="5" borderId="5" xfId="0" applyFont="1" applyFill="1" applyBorder="1" applyAlignment="1">
      <alignment horizontal="left" vertical="top"/>
    </xf>
    <xf numFmtId="14" fontId="4" fillId="5" borderId="6" xfId="0" applyNumberFormat="1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/>
    </xf>
    <xf numFmtId="14" fontId="4" fillId="4" borderId="6" xfId="0" applyNumberFormat="1" applyFont="1" applyFill="1" applyBorder="1" applyAlignment="1">
      <alignment horizontal="left" vertical="top" wrapText="1"/>
    </xf>
    <xf numFmtId="0" fontId="4" fillId="6" borderId="5" xfId="0" applyFont="1" applyFill="1" applyBorder="1" applyAlignment="1">
      <alignment horizontal="left" vertical="top"/>
    </xf>
    <xf numFmtId="14" fontId="4" fillId="6" borderId="6" xfId="0" applyNumberFormat="1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 wrapText="1"/>
    </xf>
    <xf numFmtId="14" fontId="4" fillId="5" borderId="9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51"/>
  <sheetViews>
    <sheetView tabSelected="1" topLeftCell="A33" workbookViewId="0">
      <selection activeCell="D2" sqref="D2:D266"/>
    </sheetView>
  </sheetViews>
  <sheetFormatPr defaultRowHeight="13.5" x14ac:dyDescent="0.15"/>
  <cols>
    <col min="1" max="1" width="24" customWidth="1"/>
    <col min="2" max="3" width="22" customWidth="1"/>
    <col min="4" max="4" width="20.875" customWidth="1"/>
    <col min="5" max="6" width="22.25" customWidth="1"/>
    <col min="7" max="7" width="17.5" customWidth="1"/>
    <col min="8" max="8" width="22.25" customWidth="1"/>
    <col min="9" max="9" width="23.125" customWidth="1"/>
    <col min="10" max="10" width="21.875" customWidth="1"/>
    <col min="11" max="11" width="18.125" customWidth="1"/>
  </cols>
  <sheetData>
    <row r="1" spans="1:12" s="1" customFormat="1" x14ac:dyDescent="0.15">
      <c r="A1" s="1" t="s">
        <v>0</v>
      </c>
      <c r="B1" s="1" t="s">
        <v>1</v>
      </c>
      <c r="D1" s="1" t="s">
        <v>2</v>
      </c>
      <c r="E1" s="3" t="s">
        <v>3400</v>
      </c>
      <c r="F1" s="3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3" t="s">
        <v>3407</v>
      </c>
    </row>
    <row r="2" spans="1:12" s="2" customFormat="1" x14ac:dyDescent="0.15">
      <c r="A2" s="2" t="s">
        <v>8</v>
      </c>
      <c r="B2" s="2" t="s">
        <v>9</v>
      </c>
      <c r="D2" s="2" t="s">
        <v>10</v>
      </c>
      <c r="E2" s="2" t="str">
        <f>VLOOKUP(J2,Sheet1!C:H,5,0)</f>
        <v>未清关</v>
      </c>
      <c r="G2" s="2" t="s">
        <v>11</v>
      </c>
      <c r="H2" s="2" t="s">
        <v>12</v>
      </c>
      <c r="I2" s="2" t="s">
        <v>12</v>
      </c>
      <c r="J2" s="2" t="s">
        <v>13</v>
      </c>
    </row>
    <row r="3" spans="1:12" x14ac:dyDescent="0.15">
      <c r="A3" t="s">
        <v>8</v>
      </c>
      <c r="B3" t="s">
        <v>14</v>
      </c>
      <c r="D3" t="s">
        <v>10</v>
      </c>
      <c r="E3" s="2" t="str">
        <f>VLOOKUP(J3,Sheet1!C:H,5,0)</f>
        <v>未清关</v>
      </c>
      <c r="F3" s="2"/>
      <c r="G3" t="s">
        <v>15</v>
      </c>
      <c r="H3" t="s">
        <v>16</v>
      </c>
      <c r="I3" t="s">
        <v>16</v>
      </c>
      <c r="J3" t="s">
        <v>17</v>
      </c>
    </row>
    <row r="4" spans="1:12" x14ac:dyDescent="0.15">
      <c r="A4" t="s">
        <v>8</v>
      </c>
      <c r="B4" t="s">
        <v>18</v>
      </c>
      <c r="D4" t="s">
        <v>10</v>
      </c>
      <c r="E4" s="2" t="str">
        <f>VLOOKUP(J4,Sheet1!C:H,5,0)</f>
        <v>未清关</v>
      </c>
      <c r="F4" s="2"/>
      <c r="G4" t="s">
        <v>19</v>
      </c>
      <c r="H4" t="s">
        <v>20</v>
      </c>
      <c r="I4" t="s">
        <v>20</v>
      </c>
      <c r="J4" t="s">
        <v>21</v>
      </c>
    </row>
    <row r="5" spans="1:12" x14ac:dyDescent="0.15">
      <c r="A5" t="s">
        <v>8</v>
      </c>
      <c r="B5" t="s">
        <v>22</v>
      </c>
      <c r="D5" t="s">
        <v>10</v>
      </c>
      <c r="E5" s="2" t="str">
        <f>VLOOKUP(J5,Sheet1!C:H,5,0)</f>
        <v>未清关</v>
      </c>
      <c r="F5" s="2"/>
      <c r="G5" t="s">
        <v>15</v>
      </c>
      <c r="H5" t="s">
        <v>16</v>
      </c>
      <c r="I5" t="s">
        <v>23</v>
      </c>
      <c r="J5" t="s">
        <v>24</v>
      </c>
    </row>
    <row r="6" spans="1:12" x14ac:dyDescent="0.15">
      <c r="A6" t="s">
        <v>8</v>
      </c>
      <c r="B6" t="s">
        <v>25</v>
      </c>
      <c r="D6" t="s">
        <v>10</v>
      </c>
      <c r="E6" s="2" t="str">
        <f>VLOOKUP(J6,Sheet1!C:H,5,0)</f>
        <v>未清关</v>
      </c>
      <c r="F6" s="2"/>
      <c r="G6" t="s">
        <v>15</v>
      </c>
      <c r="H6" t="s">
        <v>16</v>
      </c>
      <c r="I6" t="s">
        <v>23</v>
      </c>
      <c r="J6" t="s">
        <v>26</v>
      </c>
    </row>
    <row r="7" spans="1:12" x14ac:dyDescent="0.15">
      <c r="A7" t="s">
        <v>8</v>
      </c>
      <c r="B7" t="s">
        <v>27</v>
      </c>
      <c r="D7" t="s">
        <v>10</v>
      </c>
      <c r="E7" s="2" t="str">
        <f>VLOOKUP(J7,Sheet1!C:H,5,0)</f>
        <v>未清关</v>
      </c>
      <c r="F7" s="2"/>
      <c r="G7" t="s">
        <v>19</v>
      </c>
      <c r="H7" t="s">
        <v>16</v>
      </c>
      <c r="I7" t="s">
        <v>16</v>
      </c>
      <c r="J7" t="s">
        <v>28</v>
      </c>
    </row>
    <row r="8" spans="1:12" x14ac:dyDescent="0.15">
      <c r="A8" t="s">
        <v>8</v>
      </c>
      <c r="B8" t="s">
        <v>29</v>
      </c>
      <c r="D8" t="s">
        <v>10</v>
      </c>
      <c r="E8" s="2" t="str">
        <f>VLOOKUP(J8,Sheet1!C:H,5,0)</f>
        <v>未清关</v>
      </c>
      <c r="F8" s="2"/>
      <c r="G8" t="s">
        <v>19</v>
      </c>
      <c r="H8" t="s">
        <v>16</v>
      </c>
      <c r="I8" t="s">
        <v>16</v>
      </c>
      <c r="J8" t="s">
        <v>30</v>
      </c>
    </row>
    <row r="9" spans="1:12" x14ac:dyDescent="0.15">
      <c r="A9" t="s">
        <v>8</v>
      </c>
      <c r="B9" t="s">
        <v>31</v>
      </c>
      <c r="D9" t="s">
        <v>10</v>
      </c>
      <c r="E9" s="2" t="str">
        <f>VLOOKUP(J9,Sheet1!C:H,5,0)</f>
        <v>未清关</v>
      </c>
      <c r="F9" s="2"/>
      <c r="G9" t="s">
        <v>15</v>
      </c>
      <c r="H9" t="s">
        <v>16</v>
      </c>
      <c r="I9" t="s">
        <v>23</v>
      </c>
      <c r="J9" t="s">
        <v>32</v>
      </c>
    </row>
    <row r="10" spans="1:12" x14ac:dyDescent="0.15">
      <c r="A10" t="s">
        <v>8</v>
      </c>
      <c r="B10" t="s">
        <v>33</v>
      </c>
      <c r="D10" t="s">
        <v>10</v>
      </c>
      <c r="E10" s="2" t="str">
        <f>VLOOKUP(J10,Sheet1!C:H,5,0)</f>
        <v>未清关</v>
      </c>
      <c r="F10" s="2"/>
      <c r="G10" t="s">
        <v>15</v>
      </c>
      <c r="H10" t="s">
        <v>16</v>
      </c>
      <c r="I10" t="s">
        <v>23</v>
      </c>
      <c r="J10" t="s">
        <v>34</v>
      </c>
    </row>
    <row r="11" spans="1:12" x14ac:dyDescent="0.15">
      <c r="A11" t="s">
        <v>8</v>
      </c>
      <c r="B11" t="s">
        <v>35</v>
      </c>
      <c r="D11" t="s">
        <v>10</v>
      </c>
      <c r="E11" s="2" t="str">
        <f>VLOOKUP(J11,Sheet1!C:H,5,0)</f>
        <v>未清关</v>
      </c>
      <c r="F11" s="2"/>
      <c r="G11" t="s">
        <v>36</v>
      </c>
      <c r="H11" t="s">
        <v>37</v>
      </c>
      <c r="I11" t="s">
        <v>38</v>
      </c>
      <c r="J11" t="s">
        <v>39</v>
      </c>
    </row>
    <row r="12" spans="1:12" x14ac:dyDescent="0.15">
      <c r="A12" t="s">
        <v>8</v>
      </c>
      <c r="B12" t="s">
        <v>40</v>
      </c>
      <c r="D12" t="s">
        <v>10</v>
      </c>
      <c r="E12" s="2" t="str">
        <f>VLOOKUP(J12,Sheet1!C:H,5,0)</f>
        <v>未清关</v>
      </c>
      <c r="F12" s="2"/>
      <c r="G12" t="s">
        <v>36</v>
      </c>
      <c r="H12" t="s">
        <v>37</v>
      </c>
      <c r="I12" t="s">
        <v>38</v>
      </c>
      <c r="J12" t="s">
        <v>41</v>
      </c>
    </row>
    <row r="13" spans="1:12" x14ac:dyDescent="0.15">
      <c r="A13" t="s">
        <v>8</v>
      </c>
      <c r="B13" t="s">
        <v>42</v>
      </c>
      <c r="D13" t="s">
        <v>10</v>
      </c>
      <c r="E13" s="2" t="str">
        <f>VLOOKUP(J13,Sheet1!C:H,5,0)</f>
        <v>未清关</v>
      </c>
      <c r="F13" s="2"/>
      <c r="G13" t="s">
        <v>15</v>
      </c>
      <c r="H13" t="s">
        <v>16</v>
      </c>
      <c r="I13" t="s">
        <v>23</v>
      </c>
      <c r="J13" t="s">
        <v>43</v>
      </c>
    </row>
    <row r="14" spans="1:12" x14ac:dyDescent="0.15">
      <c r="A14" t="s">
        <v>8</v>
      </c>
      <c r="B14" t="s">
        <v>44</v>
      </c>
      <c r="D14" t="s">
        <v>10</v>
      </c>
      <c r="E14" s="2" t="str">
        <f>VLOOKUP(J14,Sheet1!C:H,5,0)</f>
        <v>未清关</v>
      </c>
      <c r="F14" s="2"/>
      <c r="G14" t="s">
        <v>15</v>
      </c>
      <c r="H14" t="s">
        <v>16</v>
      </c>
      <c r="I14" t="s">
        <v>23</v>
      </c>
      <c r="J14" t="s">
        <v>45</v>
      </c>
    </row>
    <row r="15" spans="1:12" x14ac:dyDescent="0.15">
      <c r="A15" t="s">
        <v>8</v>
      </c>
      <c r="B15" t="s">
        <v>46</v>
      </c>
      <c r="D15" t="s">
        <v>10</v>
      </c>
      <c r="E15" s="2" t="str">
        <f>VLOOKUP(J15,Sheet1!C:H,5,0)</f>
        <v>未清关</v>
      </c>
      <c r="F15" s="2"/>
      <c r="G15" t="s">
        <v>15</v>
      </c>
      <c r="H15" t="s">
        <v>16</v>
      </c>
      <c r="I15" t="s">
        <v>23</v>
      </c>
      <c r="J15" t="s">
        <v>47</v>
      </c>
    </row>
    <row r="16" spans="1:12" x14ac:dyDescent="0.15">
      <c r="A16" t="s">
        <v>8</v>
      </c>
      <c r="B16" t="s">
        <v>48</v>
      </c>
      <c r="D16" t="s">
        <v>10</v>
      </c>
      <c r="E16" s="2" t="str">
        <f>VLOOKUP(J16,Sheet1!C:H,5,0)</f>
        <v>未清关</v>
      </c>
      <c r="F16" s="2"/>
      <c r="G16" t="s">
        <v>15</v>
      </c>
      <c r="H16" t="s">
        <v>16</v>
      </c>
      <c r="I16" t="s">
        <v>23</v>
      </c>
      <c r="J16" t="s">
        <v>49</v>
      </c>
    </row>
    <row r="17" spans="1:10" x14ac:dyDescent="0.15">
      <c r="A17" t="s">
        <v>8</v>
      </c>
      <c r="B17" t="s">
        <v>50</v>
      </c>
      <c r="D17" t="s">
        <v>10</v>
      </c>
      <c r="E17" s="2" t="str">
        <f>VLOOKUP(J17,Sheet1!C:H,5,0)</f>
        <v>未清关</v>
      </c>
      <c r="F17" s="2"/>
      <c r="G17" t="s">
        <v>15</v>
      </c>
      <c r="H17" t="s">
        <v>16</v>
      </c>
      <c r="I17" t="s">
        <v>23</v>
      </c>
      <c r="J17" t="s">
        <v>51</v>
      </c>
    </row>
    <row r="18" spans="1:10" x14ac:dyDescent="0.15">
      <c r="A18" t="s">
        <v>8</v>
      </c>
      <c r="B18" t="s">
        <v>52</v>
      </c>
      <c r="D18" t="s">
        <v>10</v>
      </c>
      <c r="E18" s="2" t="str">
        <f>VLOOKUP(J18,Sheet1!C:H,5,0)</f>
        <v>未清关</v>
      </c>
      <c r="F18" s="2"/>
      <c r="G18" t="s">
        <v>15</v>
      </c>
      <c r="H18" t="s">
        <v>16</v>
      </c>
      <c r="I18" t="s">
        <v>23</v>
      </c>
      <c r="J18" t="s">
        <v>53</v>
      </c>
    </row>
    <row r="19" spans="1:10" x14ac:dyDescent="0.15">
      <c r="A19" t="s">
        <v>8</v>
      </c>
      <c r="B19" t="s">
        <v>54</v>
      </c>
      <c r="D19" t="s">
        <v>10</v>
      </c>
      <c r="E19" s="2" t="str">
        <f>VLOOKUP(J19,Sheet1!C:H,5,0)</f>
        <v>未清关</v>
      </c>
      <c r="F19" s="2"/>
      <c r="G19" t="s">
        <v>15</v>
      </c>
      <c r="H19" t="s">
        <v>16</v>
      </c>
      <c r="I19" t="s">
        <v>23</v>
      </c>
      <c r="J19" t="s">
        <v>55</v>
      </c>
    </row>
    <row r="20" spans="1:10" x14ac:dyDescent="0.15">
      <c r="A20" t="s">
        <v>8</v>
      </c>
      <c r="B20" t="s">
        <v>56</v>
      </c>
      <c r="D20" t="s">
        <v>10</v>
      </c>
      <c r="E20" s="2" t="str">
        <f>VLOOKUP(J20,Sheet1!C:H,5,0)</f>
        <v>未清关</v>
      </c>
      <c r="F20" s="2"/>
      <c r="G20" t="s">
        <v>36</v>
      </c>
      <c r="H20" t="s">
        <v>37</v>
      </c>
      <c r="I20" t="s">
        <v>38</v>
      </c>
      <c r="J20" t="s">
        <v>57</v>
      </c>
    </row>
    <row r="21" spans="1:10" x14ac:dyDescent="0.15">
      <c r="A21" t="s">
        <v>8</v>
      </c>
      <c r="B21" t="s">
        <v>58</v>
      </c>
      <c r="D21" t="s">
        <v>10</v>
      </c>
      <c r="E21" s="2" t="str">
        <f>VLOOKUP(J21,Sheet1!C:H,5,0)</f>
        <v>未清关</v>
      </c>
      <c r="F21" s="2"/>
      <c r="G21" t="s">
        <v>15</v>
      </c>
      <c r="H21" t="s">
        <v>16</v>
      </c>
      <c r="I21" t="s">
        <v>23</v>
      </c>
      <c r="J21" t="s">
        <v>59</v>
      </c>
    </row>
    <row r="22" spans="1:10" x14ac:dyDescent="0.15">
      <c r="A22" t="s">
        <v>8</v>
      </c>
      <c r="B22" t="s">
        <v>60</v>
      </c>
      <c r="D22" t="s">
        <v>10</v>
      </c>
      <c r="E22" s="2" t="str">
        <f>VLOOKUP(J22,Sheet1!C:H,5,0)</f>
        <v>未清关</v>
      </c>
      <c r="F22" s="2"/>
      <c r="G22" t="s">
        <v>15</v>
      </c>
      <c r="H22" t="s">
        <v>16</v>
      </c>
      <c r="I22" t="s">
        <v>23</v>
      </c>
      <c r="J22" t="s">
        <v>61</v>
      </c>
    </row>
    <row r="23" spans="1:10" x14ac:dyDescent="0.15">
      <c r="A23" t="s">
        <v>8</v>
      </c>
      <c r="B23" t="s">
        <v>62</v>
      </c>
      <c r="D23" t="s">
        <v>10</v>
      </c>
      <c r="E23" s="2" t="str">
        <f>VLOOKUP(J23,Sheet1!C:H,5,0)</f>
        <v>未清关</v>
      </c>
      <c r="F23" s="2"/>
      <c r="G23" t="s">
        <v>15</v>
      </c>
      <c r="H23" t="s">
        <v>16</v>
      </c>
      <c r="I23" t="s">
        <v>23</v>
      </c>
      <c r="J23" t="s">
        <v>63</v>
      </c>
    </row>
    <row r="24" spans="1:10" x14ac:dyDescent="0.15">
      <c r="A24" t="s">
        <v>8</v>
      </c>
      <c r="B24" t="s">
        <v>64</v>
      </c>
      <c r="D24" t="s">
        <v>10</v>
      </c>
      <c r="E24" s="2" t="str">
        <f>VLOOKUP(J24,Sheet1!C:H,5,0)</f>
        <v>未清关</v>
      </c>
      <c r="F24" s="2"/>
      <c r="G24" t="s">
        <v>36</v>
      </c>
      <c r="H24" t="s">
        <v>37</v>
      </c>
      <c r="I24" t="s">
        <v>38</v>
      </c>
      <c r="J24" t="s">
        <v>65</v>
      </c>
    </row>
    <row r="25" spans="1:10" x14ac:dyDescent="0.15">
      <c r="A25" t="s">
        <v>8</v>
      </c>
      <c r="B25" t="s">
        <v>66</v>
      </c>
      <c r="D25" t="s">
        <v>10</v>
      </c>
      <c r="E25" s="2" t="str">
        <f>VLOOKUP(J25,Sheet1!C:H,5,0)</f>
        <v>未清关</v>
      </c>
      <c r="F25" s="2"/>
      <c r="G25" t="s">
        <v>36</v>
      </c>
      <c r="H25" t="s">
        <v>37</v>
      </c>
      <c r="I25" t="s">
        <v>38</v>
      </c>
      <c r="J25" t="s">
        <v>67</v>
      </c>
    </row>
    <row r="26" spans="1:10" x14ac:dyDescent="0.15">
      <c r="A26" t="s">
        <v>8</v>
      </c>
      <c r="B26" t="s">
        <v>68</v>
      </c>
      <c r="D26" t="s">
        <v>10</v>
      </c>
      <c r="E26" s="2" t="str">
        <f>VLOOKUP(J26,Sheet1!C:H,5,0)</f>
        <v>未清关</v>
      </c>
      <c r="F26" s="2"/>
      <c r="G26" t="s">
        <v>15</v>
      </c>
      <c r="H26" t="s">
        <v>16</v>
      </c>
      <c r="I26" t="s">
        <v>23</v>
      </c>
      <c r="J26" t="s">
        <v>69</v>
      </c>
    </row>
    <row r="27" spans="1:10" x14ac:dyDescent="0.15">
      <c r="A27" t="s">
        <v>8</v>
      </c>
      <c r="B27" t="s">
        <v>70</v>
      </c>
      <c r="D27" t="s">
        <v>10</v>
      </c>
      <c r="E27" s="2" t="str">
        <f>VLOOKUP(J27,Sheet1!C:H,5,0)</f>
        <v>未清关</v>
      </c>
      <c r="F27" s="2"/>
      <c r="G27" t="s">
        <v>11</v>
      </c>
      <c r="H27" t="s">
        <v>71</v>
      </c>
      <c r="I27" t="s">
        <v>71</v>
      </c>
      <c r="J27" t="s">
        <v>72</v>
      </c>
    </row>
    <row r="28" spans="1:10" x14ac:dyDescent="0.15">
      <c r="A28" t="s">
        <v>8</v>
      </c>
      <c r="B28" t="s">
        <v>73</v>
      </c>
      <c r="D28" t="s">
        <v>10</v>
      </c>
      <c r="E28" s="2" t="str">
        <f>VLOOKUP(J28,Sheet1!C:H,5,0)</f>
        <v>未清关</v>
      </c>
      <c r="F28" s="2"/>
      <c r="G28" t="s">
        <v>15</v>
      </c>
      <c r="H28" t="s">
        <v>16</v>
      </c>
      <c r="I28" t="s">
        <v>16</v>
      </c>
      <c r="J28" t="s">
        <v>74</v>
      </c>
    </row>
    <row r="29" spans="1:10" x14ac:dyDescent="0.15">
      <c r="A29" t="s">
        <v>8</v>
      </c>
      <c r="B29" t="s">
        <v>75</v>
      </c>
      <c r="D29" t="s">
        <v>10</v>
      </c>
      <c r="E29" s="2" t="str">
        <f>VLOOKUP(J29,Sheet1!C:H,5,0)</f>
        <v>未清关</v>
      </c>
      <c r="F29" s="2"/>
      <c r="G29" t="s">
        <v>11</v>
      </c>
      <c r="H29" t="s">
        <v>12</v>
      </c>
      <c r="I29" t="s">
        <v>12</v>
      </c>
      <c r="J29" t="s">
        <v>76</v>
      </c>
    </row>
    <row r="30" spans="1:10" x14ac:dyDescent="0.15">
      <c r="A30" t="s">
        <v>8</v>
      </c>
      <c r="B30" t="s">
        <v>77</v>
      </c>
      <c r="D30" t="s">
        <v>10</v>
      </c>
      <c r="E30" s="2" t="str">
        <f>VLOOKUP(J30,Sheet1!C:H,5,0)</f>
        <v>未清关</v>
      </c>
      <c r="F30" s="2"/>
      <c r="G30" t="s">
        <v>11</v>
      </c>
      <c r="H30" t="s">
        <v>71</v>
      </c>
      <c r="I30" t="s">
        <v>71</v>
      </c>
      <c r="J30" t="s">
        <v>78</v>
      </c>
    </row>
    <row r="31" spans="1:10" x14ac:dyDescent="0.15">
      <c r="A31" t="s">
        <v>8</v>
      </c>
      <c r="B31" t="s">
        <v>79</v>
      </c>
      <c r="D31" t="s">
        <v>10</v>
      </c>
      <c r="E31" s="2" t="str">
        <f>VLOOKUP(J31,Sheet1!C:H,5,0)</f>
        <v>未清关</v>
      </c>
      <c r="F31" s="2"/>
      <c r="G31" t="s">
        <v>11</v>
      </c>
      <c r="H31" t="s">
        <v>80</v>
      </c>
      <c r="I31" t="s">
        <v>80</v>
      </c>
      <c r="J31" t="s">
        <v>81</v>
      </c>
    </row>
    <row r="32" spans="1:10" x14ac:dyDescent="0.15">
      <c r="A32" t="s">
        <v>8</v>
      </c>
      <c r="B32" t="s">
        <v>82</v>
      </c>
      <c r="D32" t="s">
        <v>10</v>
      </c>
      <c r="E32" s="2" t="str">
        <f>VLOOKUP(J32,Sheet1!C:H,5,0)</f>
        <v>未清关</v>
      </c>
      <c r="F32" s="2"/>
      <c r="G32" t="s">
        <v>11</v>
      </c>
      <c r="H32" t="s">
        <v>12</v>
      </c>
      <c r="I32" t="s">
        <v>12</v>
      </c>
      <c r="J32" t="s">
        <v>83</v>
      </c>
    </row>
    <row r="33" spans="1:12" x14ac:dyDescent="0.15">
      <c r="A33" t="s">
        <v>8</v>
      </c>
      <c r="B33" t="s">
        <v>84</v>
      </c>
      <c r="D33" t="s">
        <v>10</v>
      </c>
      <c r="E33" s="2" t="str">
        <f>VLOOKUP(J33,Sheet1!C:H,5,0)</f>
        <v>未清关</v>
      </c>
      <c r="F33" s="2"/>
      <c r="G33" t="s">
        <v>11</v>
      </c>
      <c r="H33" t="s">
        <v>12</v>
      </c>
      <c r="I33" t="s">
        <v>12</v>
      </c>
      <c r="J33" t="s">
        <v>85</v>
      </c>
    </row>
    <row r="34" spans="1:12" x14ac:dyDescent="0.15">
      <c r="A34" t="s">
        <v>8</v>
      </c>
      <c r="B34" t="s">
        <v>86</v>
      </c>
      <c r="D34" t="s">
        <v>10</v>
      </c>
      <c r="E34" s="2" t="str">
        <f>VLOOKUP(J34,Sheet1!C:H,5,0)</f>
        <v>未清关</v>
      </c>
      <c r="F34" s="2"/>
      <c r="G34" t="s">
        <v>15</v>
      </c>
      <c r="H34" t="s">
        <v>16</v>
      </c>
      <c r="I34" t="s">
        <v>16</v>
      </c>
      <c r="J34" t="s">
        <v>87</v>
      </c>
    </row>
    <row r="35" spans="1:12" x14ac:dyDescent="0.15">
      <c r="A35" t="s">
        <v>8</v>
      </c>
      <c r="B35" t="s">
        <v>88</v>
      </c>
      <c r="D35" t="s">
        <v>10</v>
      </c>
      <c r="E35" s="2" t="str">
        <f>VLOOKUP(J35,Sheet1!C:H,5,0)</f>
        <v>未清关</v>
      </c>
      <c r="F35" s="2"/>
      <c r="G35" t="s">
        <v>15</v>
      </c>
      <c r="H35" t="s">
        <v>16</v>
      </c>
      <c r="I35" t="s">
        <v>16</v>
      </c>
      <c r="J35" t="s">
        <v>89</v>
      </c>
    </row>
    <row r="36" spans="1:12" x14ac:dyDescent="0.15">
      <c r="A36" t="s">
        <v>8</v>
      </c>
      <c r="B36" t="s">
        <v>90</v>
      </c>
      <c r="D36" t="s">
        <v>10</v>
      </c>
      <c r="E36" s="2" t="str">
        <f>VLOOKUP(J36,Sheet1!C:H,5,0)</f>
        <v>未清关</v>
      </c>
      <c r="F36" s="2"/>
      <c r="G36" t="s">
        <v>19</v>
      </c>
      <c r="H36" t="s">
        <v>91</v>
      </c>
      <c r="I36" t="s">
        <v>91</v>
      </c>
      <c r="J36" t="s">
        <v>92</v>
      </c>
    </row>
    <row r="37" spans="1:12" x14ac:dyDescent="0.15">
      <c r="A37" t="s">
        <v>8</v>
      </c>
      <c r="B37" t="s">
        <v>93</v>
      </c>
      <c r="D37" t="s">
        <v>10</v>
      </c>
      <c r="E37" s="2" t="str">
        <f>VLOOKUP(J37,Sheet1!C:H,5,0)</f>
        <v>未清关</v>
      </c>
      <c r="F37" s="2"/>
      <c r="G37" t="s">
        <v>19</v>
      </c>
      <c r="H37" t="s">
        <v>16</v>
      </c>
      <c r="I37" t="s">
        <v>16</v>
      </c>
      <c r="J37" t="s">
        <v>94</v>
      </c>
    </row>
    <row r="38" spans="1:12" x14ac:dyDescent="0.15">
      <c r="A38" t="s">
        <v>8</v>
      </c>
      <c r="B38" t="s">
        <v>95</v>
      </c>
      <c r="D38" t="s">
        <v>10</v>
      </c>
      <c r="E38" s="2" t="str">
        <f>VLOOKUP(J38,Sheet1!C:H,5,0)</f>
        <v>未清关</v>
      </c>
      <c r="F38" s="2"/>
      <c r="G38" t="s">
        <v>19</v>
      </c>
      <c r="H38" t="s">
        <v>20</v>
      </c>
      <c r="I38" t="s">
        <v>20</v>
      </c>
      <c r="J38" t="s">
        <v>96</v>
      </c>
    </row>
    <row r="39" spans="1:12" x14ac:dyDescent="0.15">
      <c r="A39" t="s">
        <v>8</v>
      </c>
      <c r="B39" t="s">
        <v>97</v>
      </c>
      <c r="D39" t="s">
        <v>10</v>
      </c>
      <c r="E39" s="2" t="str">
        <f>VLOOKUP(J39,Sheet1!C:H,5,0)</f>
        <v>未清关</v>
      </c>
      <c r="F39" s="2"/>
      <c r="G39" t="s">
        <v>19</v>
      </c>
      <c r="H39" t="s">
        <v>20</v>
      </c>
      <c r="I39" t="s">
        <v>20</v>
      </c>
      <c r="J39" t="s">
        <v>98</v>
      </c>
    </row>
    <row r="40" spans="1:12" x14ac:dyDescent="0.15">
      <c r="A40" t="s">
        <v>8</v>
      </c>
      <c r="B40" t="s">
        <v>99</v>
      </c>
      <c r="D40" t="s">
        <v>10</v>
      </c>
      <c r="E40" s="2" t="str">
        <f>VLOOKUP(J40,Sheet1!C:H,5,0)</f>
        <v>未清关</v>
      </c>
      <c r="F40" s="2"/>
      <c r="G40" t="s">
        <v>36</v>
      </c>
      <c r="H40" t="s">
        <v>37</v>
      </c>
      <c r="I40" t="s">
        <v>37</v>
      </c>
      <c r="J40" t="s">
        <v>100</v>
      </c>
    </row>
    <row r="41" spans="1:12" x14ac:dyDescent="0.15">
      <c r="A41" t="s">
        <v>8</v>
      </c>
      <c r="B41" t="s">
        <v>101</v>
      </c>
      <c r="D41" t="s">
        <v>10</v>
      </c>
      <c r="E41" s="2" t="str">
        <f>VLOOKUP(J41,Sheet1!C:H,5,0)</f>
        <v>未清关</v>
      </c>
      <c r="F41" s="2"/>
      <c r="G41" t="s">
        <v>15</v>
      </c>
      <c r="H41" t="s">
        <v>23</v>
      </c>
      <c r="I41" t="s">
        <v>23</v>
      </c>
      <c r="J41" t="s">
        <v>102</v>
      </c>
    </row>
    <row r="42" spans="1:12" x14ac:dyDescent="0.15">
      <c r="A42" t="s">
        <v>8</v>
      </c>
      <c r="B42" t="s">
        <v>103</v>
      </c>
      <c r="D42" t="s">
        <v>10</v>
      </c>
      <c r="E42" s="2" t="str">
        <f>VLOOKUP(J42,Sheet1!C:H,5,0)</f>
        <v>未清关</v>
      </c>
      <c r="F42" s="2"/>
      <c r="G42" t="s">
        <v>15</v>
      </c>
      <c r="H42" t="s">
        <v>16</v>
      </c>
      <c r="I42" t="s">
        <v>23</v>
      </c>
      <c r="J42" t="s">
        <v>104</v>
      </c>
    </row>
    <row r="43" spans="1:12" x14ac:dyDescent="0.15">
      <c r="A43" t="s">
        <v>8</v>
      </c>
      <c r="B43" t="s">
        <v>105</v>
      </c>
      <c r="D43" t="s">
        <v>10</v>
      </c>
      <c r="E43" s="2" t="str">
        <f>VLOOKUP(J43,Sheet1!C:H,5,0)</f>
        <v>未清关</v>
      </c>
      <c r="F43" s="2"/>
      <c r="G43" t="s">
        <v>15</v>
      </c>
      <c r="H43" t="s">
        <v>23</v>
      </c>
      <c r="I43" t="s">
        <v>23</v>
      </c>
      <c r="J43" t="s">
        <v>106</v>
      </c>
    </row>
    <row r="44" spans="1:12" x14ac:dyDescent="0.15">
      <c r="A44" t="s">
        <v>8</v>
      </c>
      <c r="B44" t="s">
        <v>107</v>
      </c>
      <c r="D44" t="s">
        <v>10</v>
      </c>
      <c r="E44" s="2" t="str">
        <f>VLOOKUP(J44,Sheet1!C:H,5,0)</f>
        <v>未清关</v>
      </c>
      <c r="F44" s="2"/>
      <c r="G44" t="s">
        <v>15</v>
      </c>
      <c r="H44" t="s">
        <v>16</v>
      </c>
      <c r="I44" t="s">
        <v>23</v>
      </c>
      <c r="J44" t="s">
        <v>108</v>
      </c>
    </row>
    <row r="45" spans="1:12" x14ac:dyDescent="0.15">
      <c r="A45" t="s">
        <v>8</v>
      </c>
      <c r="B45" t="s">
        <v>109</v>
      </c>
      <c r="D45" t="s">
        <v>10</v>
      </c>
      <c r="E45" s="2" t="str">
        <f>VLOOKUP(J45,Sheet1!C:H,5,0)</f>
        <v>未清关</v>
      </c>
      <c r="F45" s="2"/>
      <c r="G45" t="s">
        <v>15</v>
      </c>
      <c r="H45" t="s">
        <v>16</v>
      </c>
      <c r="I45" t="s">
        <v>23</v>
      </c>
      <c r="J45" t="s">
        <v>110</v>
      </c>
    </row>
    <row r="46" spans="1:12" x14ac:dyDescent="0.15">
      <c r="A46" t="s">
        <v>8</v>
      </c>
      <c r="B46" t="s">
        <v>111</v>
      </c>
      <c r="D46" t="s">
        <v>10</v>
      </c>
      <c r="E46" s="2" t="str">
        <f>VLOOKUP(J46,Sheet1!C:H,5,0)</f>
        <v>未清关</v>
      </c>
      <c r="F46" s="2"/>
      <c r="G46" t="s">
        <v>15</v>
      </c>
      <c r="H46" t="s">
        <v>16</v>
      </c>
      <c r="I46" t="s">
        <v>23</v>
      </c>
      <c r="J46" t="s">
        <v>112</v>
      </c>
    </row>
    <row r="47" spans="1:12" x14ac:dyDescent="0.15">
      <c r="A47" t="s">
        <v>8</v>
      </c>
      <c r="B47" t="s">
        <v>113</v>
      </c>
      <c r="D47" t="s">
        <v>10</v>
      </c>
      <c r="E47" s="2" t="str">
        <f>VLOOKUP(J47,Sheet1!C:H,5,0)</f>
        <v>未清关</v>
      </c>
      <c r="F47" s="2"/>
      <c r="G47" t="s">
        <v>15</v>
      </c>
      <c r="H47" t="s">
        <v>23</v>
      </c>
      <c r="I47" t="s">
        <v>23</v>
      </c>
      <c r="J47" t="s">
        <v>114</v>
      </c>
    </row>
    <row r="48" spans="1:12" s="2" customFormat="1" hidden="1" x14ac:dyDescent="0.15">
      <c r="A48" s="2" t="s">
        <v>115</v>
      </c>
      <c r="B48" s="2" t="s">
        <v>116</v>
      </c>
      <c r="C48" s="2" t="str">
        <f>_xlfn.XLOOKUP($B48,Sheet1!$I:$I,Sheet1!AS:AS,0,0,1)</f>
        <v>2026-02-05 00:00:00</v>
      </c>
      <c r="D48" s="2" t="s">
        <v>117</v>
      </c>
      <c r="E48" s="2" t="str">
        <f>VLOOKUP(J48,Sheet1!C:H,5,0)</f>
        <v>已完成</v>
      </c>
      <c r="G48" s="2" t="s">
        <v>19</v>
      </c>
      <c r="H48" s="2" t="s">
        <v>118</v>
      </c>
      <c r="I48" s="2" t="s">
        <v>119</v>
      </c>
      <c r="J48" s="2" t="s">
        <v>120</v>
      </c>
      <c r="L48" s="2" t="str">
        <f>_xlfn.XLOOKUP($B48,Sheet1!$I:$I,Sheet1!BB:BB,0,0,1)</f>
        <v>2026-02-11 13:41:00</v>
      </c>
    </row>
    <row r="49" spans="1:12" hidden="1" x14ac:dyDescent="0.15">
      <c r="A49" t="s">
        <v>115</v>
      </c>
      <c r="B49" t="s">
        <v>121</v>
      </c>
      <c r="D49" t="s">
        <v>122</v>
      </c>
      <c r="E49" s="2" t="str">
        <f>VLOOKUP(J49,Sheet1!C:H,5,0)</f>
        <v>未清关</v>
      </c>
      <c r="F49" s="2"/>
      <c r="G49" t="s">
        <v>36</v>
      </c>
      <c r="H49" t="s">
        <v>37</v>
      </c>
      <c r="I49" t="s">
        <v>37</v>
      </c>
      <c r="J49" t="s">
        <v>123</v>
      </c>
    </row>
    <row r="50" spans="1:12" hidden="1" x14ac:dyDescent="0.15">
      <c r="A50" t="s">
        <v>115</v>
      </c>
      <c r="B50" t="s">
        <v>124</v>
      </c>
      <c r="C50" s="2" t="str">
        <f>_xlfn.XLOOKUP($B50,Sheet1!$I:$I,Sheet1!AS:AS,0,0,1)</f>
        <v>2026-02-19 14:42:00</v>
      </c>
      <c r="D50" t="s">
        <v>117</v>
      </c>
      <c r="E50" s="2" t="str">
        <f>VLOOKUP(J50,Sheet1!C:H,5,0)</f>
        <v>已完成</v>
      </c>
      <c r="F50" s="2"/>
      <c r="G50" t="s">
        <v>125</v>
      </c>
      <c r="H50" t="s">
        <v>126</v>
      </c>
      <c r="I50" t="s">
        <v>126</v>
      </c>
      <c r="J50" t="s">
        <v>127</v>
      </c>
      <c r="L50" s="2" t="str">
        <f>_xlfn.XLOOKUP(B50,Sheet1!I:I,Sheet1!BB:BB,0,0,1)</f>
        <v>2026-02-26 14:14:00</v>
      </c>
    </row>
    <row r="51" spans="1:12" hidden="1" x14ac:dyDescent="0.15">
      <c r="A51" t="s">
        <v>115</v>
      </c>
      <c r="B51" t="s">
        <v>128</v>
      </c>
      <c r="D51" t="s">
        <v>122</v>
      </c>
      <c r="E51" s="2" t="str">
        <f>VLOOKUP(J51,Sheet1!C:H,5,0)</f>
        <v>未清关</v>
      </c>
      <c r="F51" s="2"/>
      <c r="G51" t="s">
        <v>125</v>
      </c>
      <c r="H51" t="s">
        <v>129</v>
      </c>
      <c r="I51" t="s">
        <v>80</v>
      </c>
      <c r="J51" t="s">
        <v>130</v>
      </c>
    </row>
    <row r="52" spans="1:12" hidden="1" x14ac:dyDescent="0.15">
      <c r="A52" t="s">
        <v>115</v>
      </c>
      <c r="B52" t="s">
        <v>131</v>
      </c>
      <c r="C52" s="2" t="str">
        <f>_xlfn.XLOOKUP($B52,Sheet1!$I:$I,Sheet1!AS:AS,0,0,1)</f>
        <v>2026-01-27 00:00:00</v>
      </c>
      <c r="D52" t="s">
        <v>117</v>
      </c>
      <c r="E52" s="2" t="str">
        <f>VLOOKUP(J52,Sheet1!C:H,5,0)</f>
        <v>已完成</v>
      </c>
      <c r="F52" s="2"/>
      <c r="G52" t="s">
        <v>36</v>
      </c>
      <c r="H52" t="s">
        <v>132</v>
      </c>
      <c r="I52" t="s">
        <v>132</v>
      </c>
      <c r="J52" t="s">
        <v>133</v>
      </c>
      <c r="L52" s="2" t="str">
        <f>_xlfn.XLOOKUP(B52,Sheet1!I:I,Sheet1!BB:BB,0,0,1)</f>
        <v>2026-02-02 00:00:00</v>
      </c>
    </row>
    <row r="53" spans="1:12" hidden="1" x14ac:dyDescent="0.15">
      <c r="A53" t="s">
        <v>115</v>
      </c>
      <c r="B53" t="s">
        <v>134</v>
      </c>
      <c r="D53" t="s">
        <v>122</v>
      </c>
      <c r="E53" s="2" t="str">
        <f>VLOOKUP(J53,Sheet1!C:H,5,0)</f>
        <v>已完成</v>
      </c>
      <c r="F53" s="2"/>
      <c r="G53" t="s">
        <v>15</v>
      </c>
      <c r="H53" t="s">
        <v>135</v>
      </c>
      <c r="I53" t="s">
        <v>135</v>
      </c>
      <c r="J53" t="s">
        <v>136</v>
      </c>
    </row>
    <row r="54" spans="1:12" hidden="1" x14ac:dyDescent="0.15">
      <c r="A54" t="s">
        <v>115</v>
      </c>
      <c r="B54" t="s">
        <v>137</v>
      </c>
      <c r="C54" s="2" t="str">
        <f>_xlfn.XLOOKUP($B54,Sheet1!$I:$I,Sheet1!AS:AS,0,0,1)</f>
        <v>2026-02-10 08:55:00</v>
      </c>
      <c r="D54" t="s">
        <v>117</v>
      </c>
      <c r="E54" s="2" t="str">
        <f>VLOOKUP(J54,Sheet1!C:H,5,0)</f>
        <v>已完成</v>
      </c>
      <c r="F54" s="2"/>
      <c r="G54" t="s">
        <v>15</v>
      </c>
      <c r="H54" t="s">
        <v>138</v>
      </c>
      <c r="I54" t="s">
        <v>139</v>
      </c>
      <c r="J54" t="s">
        <v>140</v>
      </c>
      <c r="L54" s="2" t="str">
        <f>_xlfn.XLOOKUP(B54,Sheet1!I:I,Sheet1!BB:BB,0,0,1)</f>
        <v>2026-02-12 15:46:00</v>
      </c>
    </row>
    <row r="55" spans="1:12" hidden="1" x14ac:dyDescent="0.15">
      <c r="A55" t="s">
        <v>115</v>
      </c>
      <c r="B55" t="s">
        <v>141</v>
      </c>
      <c r="C55" s="2" t="str">
        <f>_xlfn.XLOOKUP($B55,Sheet1!$I:$I,Sheet1!AS:AS,0,0,1)</f>
        <v>2026-02-10 00:00:00</v>
      </c>
      <c r="D55" t="s">
        <v>117</v>
      </c>
      <c r="E55" s="2" t="str">
        <f>VLOOKUP(J55,Sheet1!C:H,5,0)</f>
        <v>已完成</v>
      </c>
      <c r="F55" s="2"/>
      <c r="G55" t="s">
        <v>19</v>
      </c>
      <c r="H55" t="s">
        <v>118</v>
      </c>
      <c r="I55" t="s">
        <v>119</v>
      </c>
      <c r="J55" t="s">
        <v>142</v>
      </c>
      <c r="L55" s="2" t="str">
        <f>_xlfn.XLOOKUP(B55,Sheet1!I:I,Sheet1!BB:BB,0,0,1)</f>
        <v>2026-02-16 07:09:00</v>
      </c>
    </row>
    <row r="56" spans="1:12" hidden="1" x14ac:dyDescent="0.15">
      <c r="A56" t="s">
        <v>115</v>
      </c>
      <c r="B56" t="s">
        <v>143</v>
      </c>
      <c r="D56" t="s">
        <v>122</v>
      </c>
      <c r="E56" s="2" t="str">
        <f>VLOOKUP(J56,Sheet1!C:H,5,0)</f>
        <v>已完成</v>
      </c>
      <c r="F56" s="2"/>
      <c r="G56" t="s">
        <v>125</v>
      </c>
      <c r="H56" t="s">
        <v>129</v>
      </c>
      <c r="I56" t="s">
        <v>80</v>
      </c>
      <c r="J56" t="s">
        <v>144</v>
      </c>
    </row>
    <row r="57" spans="1:12" hidden="1" x14ac:dyDescent="0.15">
      <c r="A57" t="s">
        <v>115</v>
      </c>
      <c r="B57" t="s">
        <v>145</v>
      </c>
      <c r="D57" t="s">
        <v>122</v>
      </c>
      <c r="E57" s="2" t="str">
        <f>VLOOKUP(J57,Sheet1!C:H,5,0)</f>
        <v>已完成</v>
      </c>
      <c r="F57" s="2"/>
      <c r="G57" t="s">
        <v>19</v>
      </c>
      <c r="H57" t="s">
        <v>12</v>
      </c>
      <c r="I57" t="s">
        <v>12</v>
      </c>
      <c r="J57" t="s">
        <v>146</v>
      </c>
    </row>
    <row r="58" spans="1:12" hidden="1" x14ac:dyDescent="0.15">
      <c r="A58" t="s">
        <v>115</v>
      </c>
      <c r="B58" t="s">
        <v>147</v>
      </c>
      <c r="C58" s="2" t="str">
        <f>_xlfn.XLOOKUP($B58,Sheet1!$I:$I,Sheet1!AS:AS,0,0,1)</f>
        <v>2026-02-09 00:00:00</v>
      </c>
      <c r="D58" t="s">
        <v>117</v>
      </c>
      <c r="E58" s="2" t="str">
        <f>VLOOKUP(J58,Sheet1!C:H,5,0)</f>
        <v>已完成</v>
      </c>
      <c r="F58" s="2"/>
      <c r="G58" t="s">
        <v>19</v>
      </c>
      <c r="H58" t="s">
        <v>148</v>
      </c>
      <c r="I58" t="s">
        <v>148</v>
      </c>
      <c r="J58" t="s">
        <v>149</v>
      </c>
      <c r="L58" s="2" t="str">
        <f>_xlfn.XLOOKUP(B58,Sheet1!I:I,Sheet1!BB:BB,0,0,1)</f>
        <v>2026-02-18 00:00:00</v>
      </c>
    </row>
    <row r="59" spans="1:12" hidden="1" x14ac:dyDescent="0.15">
      <c r="A59" t="s">
        <v>115</v>
      </c>
      <c r="B59" t="s">
        <v>150</v>
      </c>
      <c r="D59" t="s">
        <v>122</v>
      </c>
      <c r="E59" s="2" t="str">
        <f>VLOOKUP(J59,Sheet1!C:H,5,0)</f>
        <v>未清关</v>
      </c>
      <c r="F59" s="2"/>
      <c r="G59" t="s">
        <v>125</v>
      </c>
      <c r="H59" t="s">
        <v>126</v>
      </c>
      <c r="I59" t="s">
        <v>126</v>
      </c>
      <c r="J59" t="s">
        <v>151</v>
      </c>
    </row>
    <row r="60" spans="1:12" hidden="1" x14ac:dyDescent="0.15">
      <c r="A60" t="s">
        <v>115</v>
      </c>
      <c r="B60" t="s">
        <v>152</v>
      </c>
      <c r="D60" t="s">
        <v>122</v>
      </c>
      <c r="E60" s="2" t="str">
        <f>VLOOKUP(J60,Sheet1!C:H,5,0)</f>
        <v>已完成</v>
      </c>
      <c r="F60" s="2"/>
      <c r="G60" t="s">
        <v>15</v>
      </c>
      <c r="H60" t="s">
        <v>80</v>
      </c>
      <c r="I60" t="s">
        <v>80</v>
      </c>
      <c r="J60" t="s">
        <v>153</v>
      </c>
    </row>
    <row r="61" spans="1:12" hidden="1" x14ac:dyDescent="0.15">
      <c r="A61" t="s">
        <v>115</v>
      </c>
      <c r="B61" t="s">
        <v>154</v>
      </c>
      <c r="C61" s="2" t="str">
        <f>_xlfn.XLOOKUP($B61,Sheet1!$I:$I,Sheet1!AS:AS,0,0,1)</f>
        <v>2026-02-09 00:00:00</v>
      </c>
      <c r="D61" t="s">
        <v>117</v>
      </c>
      <c r="E61" s="2" t="str">
        <f>VLOOKUP(J61,Sheet1!C:H,5,0)</f>
        <v>已完成</v>
      </c>
      <c r="F61" s="2"/>
      <c r="G61" t="s">
        <v>36</v>
      </c>
      <c r="H61" t="s">
        <v>119</v>
      </c>
      <c r="I61" t="s">
        <v>119</v>
      </c>
      <c r="J61" t="s">
        <v>155</v>
      </c>
      <c r="L61" s="2" t="str">
        <f>_xlfn.XLOOKUP(B61,Sheet1!I:I,Sheet1!BB:BB,0,0,1)</f>
        <v>2026-02-12 00:00:00</v>
      </c>
    </row>
    <row r="62" spans="1:12" hidden="1" x14ac:dyDescent="0.15">
      <c r="A62" t="s">
        <v>115</v>
      </c>
      <c r="B62" t="s">
        <v>156</v>
      </c>
      <c r="C62" s="2" t="str">
        <f>_xlfn.XLOOKUP($B62,Sheet1!$I:$I,Sheet1!AS:AS,0,0,1)</f>
        <v>2026-01-28 00:00:00</v>
      </c>
      <c r="D62" t="s">
        <v>117</v>
      </c>
      <c r="E62" s="2" t="str">
        <f>VLOOKUP(J62,Sheet1!C:H,5,0)</f>
        <v>已完成</v>
      </c>
      <c r="F62" s="2"/>
      <c r="G62" t="s">
        <v>36</v>
      </c>
      <c r="H62" t="s">
        <v>132</v>
      </c>
      <c r="I62" t="s">
        <v>132</v>
      </c>
      <c r="J62" t="s">
        <v>157</v>
      </c>
      <c r="L62" s="2" t="str">
        <f>_xlfn.XLOOKUP(B62,Sheet1!I:I,Sheet1!BB:BB,0,0,1)</f>
        <v>2026-01-29 00:00:00</v>
      </c>
    </row>
    <row r="63" spans="1:12" hidden="1" x14ac:dyDescent="0.15">
      <c r="A63" t="s">
        <v>115</v>
      </c>
      <c r="B63" t="s">
        <v>158</v>
      </c>
      <c r="C63" s="2" t="str">
        <f>_xlfn.XLOOKUP($B63,Sheet1!$I:$I,Sheet1!AS:AS,0,0,1)</f>
        <v>2026-02-12 00:00:00</v>
      </c>
      <c r="D63" t="s">
        <v>117</v>
      </c>
      <c r="E63" s="2" t="str">
        <f>VLOOKUP(J63,Sheet1!C:H,5,0)</f>
        <v>未清关</v>
      </c>
      <c r="F63" s="2"/>
      <c r="G63" t="s">
        <v>19</v>
      </c>
      <c r="H63" t="s">
        <v>159</v>
      </c>
      <c r="I63" t="s">
        <v>160</v>
      </c>
      <c r="J63" t="s">
        <v>161</v>
      </c>
      <c r="L63" s="2" t="str">
        <f>_xlfn.XLOOKUP(B63,Sheet1!I:I,Sheet1!BB:BB,0,0,1)</f>
        <v>2026-02-18 15:20:00</v>
      </c>
    </row>
    <row r="64" spans="1:12" hidden="1" x14ac:dyDescent="0.15">
      <c r="A64" t="s">
        <v>115</v>
      </c>
      <c r="B64" t="s">
        <v>162</v>
      </c>
      <c r="C64" s="2" t="str">
        <f>_xlfn.XLOOKUP($B64,Sheet1!$I:$I,Sheet1!AS:AS,0,0,1)</f>
        <v>2026-02-12 00:00:00</v>
      </c>
      <c r="D64" t="s">
        <v>117</v>
      </c>
      <c r="E64" s="2" t="str">
        <f>VLOOKUP(J64,Sheet1!C:H,5,0)</f>
        <v>已完成</v>
      </c>
      <c r="F64" s="2"/>
      <c r="G64" t="s">
        <v>19</v>
      </c>
      <c r="H64" t="s">
        <v>159</v>
      </c>
      <c r="I64" t="s">
        <v>160</v>
      </c>
      <c r="J64" t="s">
        <v>163</v>
      </c>
      <c r="L64" s="2" t="str">
        <f>_xlfn.XLOOKUP(B64,Sheet1!I:I,Sheet1!BB:BB,0,0,1)</f>
        <v>2026-02-23 19:01:00</v>
      </c>
    </row>
    <row r="65" spans="1:12" hidden="1" x14ac:dyDescent="0.15">
      <c r="A65" t="s">
        <v>115</v>
      </c>
      <c r="B65" t="s">
        <v>164</v>
      </c>
      <c r="C65" s="2" t="str">
        <f>_xlfn.XLOOKUP($B65,Sheet1!$I:$I,Sheet1!AS:AS,0,0,1)</f>
        <v>2026-02-04 00:00:00</v>
      </c>
      <c r="D65" t="s">
        <v>117</v>
      </c>
      <c r="E65" s="2" t="str">
        <f>VLOOKUP(J65,Sheet1!C:H,5,0)</f>
        <v>已完成</v>
      </c>
      <c r="F65" s="2"/>
      <c r="G65" t="s">
        <v>36</v>
      </c>
      <c r="H65" t="s">
        <v>165</v>
      </c>
      <c r="I65" t="s">
        <v>165</v>
      </c>
      <c r="J65" t="s">
        <v>166</v>
      </c>
      <c r="L65" s="2" t="str">
        <f>_xlfn.XLOOKUP(B65,Sheet1!I:I,Sheet1!BB:BB,0,0,1)</f>
        <v>2026-02-11 00:00:00</v>
      </c>
    </row>
    <row r="66" spans="1:12" hidden="1" x14ac:dyDescent="0.15">
      <c r="A66" t="s">
        <v>115</v>
      </c>
      <c r="B66" t="s">
        <v>167</v>
      </c>
      <c r="C66" s="2" t="str">
        <f>_xlfn.XLOOKUP($B66,Sheet1!$I:$I,Sheet1!AS:AS,0,0,1)</f>
        <v>2026-02-09 00:00:00</v>
      </c>
      <c r="D66" t="s">
        <v>117</v>
      </c>
      <c r="E66" s="2" t="str">
        <f>VLOOKUP(J66,Sheet1!C:H,5,0)</f>
        <v>已完成</v>
      </c>
      <c r="F66" s="2"/>
      <c r="G66" t="s">
        <v>19</v>
      </c>
      <c r="H66" t="s">
        <v>148</v>
      </c>
      <c r="I66" t="s">
        <v>148</v>
      </c>
      <c r="J66" t="s">
        <v>168</v>
      </c>
      <c r="L66" s="2" t="str">
        <f>_xlfn.XLOOKUP(B66,Sheet1!I:I,Sheet1!BB:BB,0,0,1)</f>
        <v>2026-02-18 00:00:00</v>
      </c>
    </row>
    <row r="67" spans="1:12" hidden="1" x14ac:dyDescent="0.15">
      <c r="A67" t="s">
        <v>115</v>
      </c>
      <c r="B67" t="s">
        <v>169</v>
      </c>
      <c r="C67" s="2" t="str">
        <f>_xlfn.XLOOKUP($B67,Sheet1!$I:$I,Sheet1!AS:AS,0,0,1)</f>
        <v>2026-02-09 00:00:00</v>
      </c>
      <c r="D67" t="s">
        <v>117</v>
      </c>
      <c r="E67" s="2" t="str">
        <f>VLOOKUP(J67,Sheet1!C:H,5,0)</f>
        <v>已完成</v>
      </c>
      <c r="F67" s="2"/>
      <c r="G67" t="s">
        <v>36</v>
      </c>
      <c r="H67" t="s">
        <v>119</v>
      </c>
      <c r="I67" t="s">
        <v>119</v>
      </c>
      <c r="J67" t="s">
        <v>170</v>
      </c>
      <c r="L67" s="2" t="str">
        <f>_xlfn.XLOOKUP(B67,Sheet1!I:I,Sheet1!BB:BB,0,0,1)</f>
        <v>2026-02-18 00:00:00</v>
      </c>
    </row>
    <row r="68" spans="1:12" hidden="1" x14ac:dyDescent="0.15">
      <c r="A68" t="s">
        <v>115</v>
      </c>
      <c r="B68" t="s">
        <v>171</v>
      </c>
      <c r="C68" s="2" t="str">
        <f>_xlfn.XLOOKUP($B68,Sheet1!$I:$I,Sheet1!AS:AS,0,0,1)</f>
        <v>2026-02-12 00:00:00</v>
      </c>
      <c r="D68" t="s">
        <v>117</v>
      </c>
      <c r="E68" s="2" t="str">
        <f>VLOOKUP(J68,Sheet1!C:H,5,0)</f>
        <v>未清关</v>
      </c>
      <c r="F68" s="2"/>
      <c r="G68" t="s">
        <v>19</v>
      </c>
      <c r="H68" t="s">
        <v>159</v>
      </c>
      <c r="I68" t="s">
        <v>160</v>
      </c>
      <c r="J68" t="s">
        <v>172</v>
      </c>
      <c r="L68" s="2" t="str">
        <f>_xlfn.XLOOKUP(B68,Sheet1!I:I,Sheet1!BB:BB,0,0,1)</f>
        <v>2026-02-21 12:30:00</v>
      </c>
    </row>
    <row r="69" spans="1:12" hidden="1" x14ac:dyDescent="0.15">
      <c r="A69" t="s">
        <v>115</v>
      </c>
      <c r="B69" t="s">
        <v>173</v>
      </c>
      <c r="C69" s="2" t="str">
        <f>_xlfn.XLOOKUP($B69,Sheet1!$I:$I,Sheet1!AS:AS,0,0,1)</f>
        <v>2026-02-10 16:44:56</v>
      </c>
      <c r="D69" t="s">
        <v>117</v>
      </c>
      <c r="E69" s="2" t="str">
        <f>VLOOKUP(J69,Sheet1!C:H,5,0)</f>
        <v>已完成</v>
      </c>
      <c r="F69" s="2"/>
      <c r="G69" t="s">
        <v>15</v>
      </c>
      <c r="H69" t="s">
        <v>138</v>
      </c>
      <c r="I69" t="s">
        <v>139</v>
      </c>
      <c r="J69" t="s">
        <v>174</v>
      </c>
      <c r="L69" s="2" t="str">
        <f>_xlfn.XLOOKUP(B69,Sheet1!I:I,Sheet1!BB:BB,0,0,1)</f>
        <v>2026-02-14 09:58:00</v>
      </c>
    </row>
    <row r="70" spans="1:12" hidden="1" x14ac:dyDescent="0.15">
      <c r="A70" t="s">
        <v>115</v>
      </c>
      <c r="B70" t="s">
        <v>175</v>
      </c>
      <c r="C70" s="2" t="str">
        <f>_xlfn.XLOOKUP($B70,Sheet1!$I:$I,Sheet1!AS:AS,0,0,1)</f>
        <v>2026-02-09 00:00:00</v>
      </c>
      <c r="D70" t="s">
        <v>117</v>
      </c>
      <c r="E70" s="2" t="str">
        <f>VLOOKUP(J70,Sheet1!C:H,5,0)</f>
        <v>已完成</v>
      </c>
      <c r="F70" s="2"/>
      <c r="G70" t="s">
        <v>36</v>
      </c>
      <c r="H70" t="s">
        <v>119</v>
      </c>
      <c r="I70" t="s">
        <v>119</v>
      </c>
      <c r="J70" t="s">
        <v>176</v>
      </c>
      <c r="L70" s="2" t="str">
        <f>_xlfn.XLOOKUP(B70,Sheet1!I:I,Sheet1!BB:BB,0,0,1)</f>
        <v>2026-02-11 00:00:00</v>
      </c>
    </row>
    <row r="71" spans="1:12" hidden="1" x14ac:dyDescent="0.15">
      <c r="A71" t="s">
        <v>115</v>
      </c>
      <c r="B71" t="s">
        <v>177</v>
      </c>
      <c r="C71" s="2" t="str">
        <f>_xlfn.XLOOKUP($B71,Sheet1!$I:$I,Sheet1!AS:AS,0,0,1)</f>
        <v>2026-02-13 23:59:59</v>
      </c>
      <c r="D71" t="s">
        <v>117</v>
      </c>
      <c r="E71" s="2" t="str">
        <f>VLOOKUP(J71,Sheet1!C:H,5,0)</f>
        <v>未清关</v>
      </c>
      <c r="F71" s="2"/>
      <c r="G71" t="s">
        <v>15</v>
      </c>
      <c r="H71" t="s">
        <v>159</v>
      </c>
      <c r="I71" t="s">
        <v>160</v>
      </c>
      <c r="J71" t="s">
        <v>178</v>
      </c>
      <c r="L71" s="2" t="str">
        <f>_xlfn.XLOOKUP(B71,Sheet1!I:I,Sheet1!BB:BB,0,0,1)</f>
        <v>2026-02-20 07:20:00</v>
      </c>
    </row>
    <row r="72" spans="1:12" hidden="1" x14ac:dyDescent="0.15">
      <c r="A72" t="s">
        <v>115</v>
      </c>
      <c r="B72" t="s">
        <v>179</v>
      </c>
      <c r="C72" s="2" t="str">
        <f>_xlfn.XLOOKUP($B72,Sheet1!$I:$I,Sheet1!AS:AS,0,0,1)</f>
        <v>2026-02-19 23:59:59</v>
      </c>
      <c r="D72" t="s">
        <v>117</v>
      </c>
      <c r="E72" s="2" t="str">
        <f>VLOOKUP(J72,Sheet1!C:H,5,0)</f>
        <v>已完成</v>
      </c>
      <c r="F72" s="2"/>
      <c r="G72" t="s">
        <v>15</v>
      </c>
      <c r="H72" t="s">
        <v>135</v>
      </c>
      <c r="I72" t="s">
        <v>135</v>
      </c>
      <c r="J72" t="s">
        <v>180</v>
      </c>
      <c r="L72" s="2" t="str">
        <f>_xlfn.XLOOKUP(B72,Sheet1!I:I,Sheet1!BB:BB,0,0,1)</f>
        <v>2026-02-25 06:03:00</v>
      </c>
    </row>
    <row r="73" spans="1:12" hidden="1" x14ac:dyDescent="0.15">
      <c r="A73" t="s">
        <v>115</v>
      </c>
      <c r="B73" t="s">
        <v>181</v>
      </c>
      <c r="C73" s="2" t="str">
        <f>_xlfn.XLOOKUP($B73,Sheet1!$I:$I,Sheet1!AS:AS,0,0,1)</f>
        <v>2026-02-07 12:44:00</v>
      </c>
      <c r="D73" t="s">
        <v>117</v>
      </c>
      <c r="E73" s="2" t="str">
        <f>VLOOKUP(J73,Sheet1!C:H,5,0)</f>
        <v>已完成</v>
      </c>
      <c r="F73" s="2"/>
      <c r="G73" t="s">
        <v>15</v>
      </c>
      <c r="H73" t="s">
        <v>138</v>
      </c>
      <c r="I73" t="s">
        <v>139</v>
      </c>
      <c r="J73" t="s">
        <v>182</v>
      </c>
      <c r="L73" s="2" t="str">
        <f>_xlfn.XLOOKUP(B73,Sheet1!I:I,Sheet1!BB:BB,0,0,1)</f>
        <v>2026-02-12 13:35:00</v>
      </c>
    </row>
    <row r="74" spans="1:12" hidden="1" x14ac:dyDescent="0.15">
      <c r="A74" t="s">
        <v>115</v>
      </c>
      <c r="B74" t="s">
        <v>183</v>
      </c>
      <c r="C74" s="2" t="str">
        <f>_xlfn.XLOOKUP($B74,Sheet1!$I:$I,Sheet1!AS:AS,0,0,1)</f>
        <v>2026-02-09 00:00:00</v>
      </c>
      <c r="D74" t="s">
        <v>117</v>
      </c>
      <c r="E74" s="2" t="str">
        <f>VLOOKUP(J74,Sheet1!C:H,5,0)</f>
        <v>已完成</v>
      </c>
      <c r="F74" s="2"/>
      <c r="G74" t="s">
        <v>19</v>
      </c>
      <c r="H74" t="s">
        <v>118</v>
      </c>
      <c r="I74" t="s">
        <v>119</v>
      </c>
      <c r="J74" t="s">
        <v>184</v>
      </c>
      <c r="L74" s="2" t="str">
        <f>_xlfn.XLOOKUP(B74,Sheet1!I:I,Sheet1!BB:BB,0,0,1)</f>
        <v>2026-02-13 11:50:00</v>
      </c>
    </row>
    <row r="75" spans="1:12" hidden="1" x14ac:dyDescent="0.15">
      <c r="A75" t="s">
        <v>115</v>
      </c>
      <c r="B75" t="s">
        <v>185</v>
      </c>
      <c r="C75" s="2" t="str">
        <f>_xlfn.XLOOKUP($B75,Sheet1!$I:$I,Sheet1!AS:AS,0,0,1)</f>
        <v>2026-02-06 07:37:00</v>
      </c>
      <c r="D75" t="s">
        <v>117</v>
      </c>
      <c r="E75" s="2" t="str">
        <f>VLOOKUP(J75,Sheet1!C:H,5,0)</f>
        <v>已完成</v>
      </c>
      <c r="F75" s="2"/>
      <c r="G75" t="s">
        <v>15</v>
      </c>
      <c r="H75" t="s">
        <v>138</v>
      </c>
      <c r="I75" t="s">
        <v>139</v>
      </c>
      <c r="J75" t="s">
        <v>186</v>
      </c>
      <c r="L75" s="2" t="str">
        <f>_xlfn.XLOOKUP(B75,Sheet1!I:I,Sheet1!BB:BB,0,0,1)</f>
        <v>2026-02-11 06:08:00</v>
      </c>
    </row>
    <row r="76" spans="1:12" hidden="1" x14ac:dyDescent="0.15">
      <c r="A76" t="s">
        <v>115</v>
      </c>
      <c r="B76" t="s">
        <v>187</v>
      </c>
      <c r="C76" s="2" t="str">
        <f>_xlfn.XLOOKUP($B76,Sheet1!$I:$I,Sheet1!AS:AS,0,0,1)</f>
        <v>2026-02-10 05:37:00</v>
      </c>
      <c r="D76" t="s">
        <v>117</v>
      </c>
      <c r="E76" s="2" t="str">
        <f>VLOOKUP(J76,Sheet1!C:H,5,0)</f>
        <v>已完成</v>
      </c>
      <c r="F76" s="2"/>
      <c r="G76" t="s">
        <v>15</v>
      </c>
      <c r="H76" t="s">
        <v>138</v>
      </c>
      <c r="I76" t="s">
        <v>139</v>
      </c>
      <c r="J76" t="s">
        <v>188</v>
      </c>
      <c r="L76" s="2" t="str">
        <f>_xlfn.XLOOKUP(B76,Sheet1!I:I,Sheet1!BB:BB,0,0,1)</f>
        <v>2026-02-17 06:19:00</v>
      </c>
    </row>
    <row r="77" spans="1:12" hidden="1" x14ac:dyDescent="0.15">
      <c r="A77" t="s">
        <v>115</v>
      </c>
      <c r="B77" t="s">
        <v>189</v>
      </c>
      <c r="C77" s="2" t="str">
        <f>_xlfn.XLOOKUP($B77,Sheet1!$I:$I,Sheet1!AS:AS,0,0,1)</f>
        <v>2026-02-12 23:59:59</v>
      </c>
      <c r="D77" t="s">
        <v>117</v>
      </c>
      <c r="E77" s="2" t="str">
        <f>VLOOKUP(J77,Sheet1!C:H,5,0)</f>
        <v>已完成</v>
      </c>
      <c r="F77" s="2"/>
      <c r="G77" t="s">
        <v>15</v>
      </c>
      <c r="H77" t="s">
        <v>138</v>
      </c>
      <c r="I77" t="s">
        <v>139</v>
      </c>
      <c r="J77" t="s">
        <v>190</v>
      </c>
      <c r="L77" s="2" t="str">
        <f>_xlfn.XLOOKUP(B77,Sheet1!I:I,Sheet1!BB:BB,0,0,1)</f>
        <v>2026-02-16 07:56:00</v>
      </c>
    </row>
    <row r="78" spans="1:12" hidden="1" x14ac:dyDescent="0.15">
      <c r="A78" t="s">
        <v>115</v>
      </c>
      <c r="B78" t="s">
        <v>191</v>
      </c>
      <c r="C78" s="2" t="str">
        <f>_xlfn.XLOOKUP($B78,Sheet1!$I:$I,Sheet1!AS:AS,0,0,1)</f>
        <v>2026-02-12 00:00:00</v>
      </c>
      <c r="D78" t="s">
        <v>117</v>
      </c>
      <c r="E78" s="2" t="str">
        <f>VLOOKUP(J78,Sheet1!C:H,5,0)</f>
        <v>未清关</v>
      </c>
      <c r="F78" s="2"/>
      <c r="G78" t="s">
        <v>19</v>
      </c>
      <c r="H78" t="s">
        <v>159</v>
      </c>
      <c r="I78" t="s">
        <v>160</v>
      </c>
      <c r="J78" t="s">
        <v>192</v>
      </c>
      <c r="L78" s="2" t="str">
        <f>_xlfn.XLOOKUP(B78,Sheet1!I:I,Sheet1!BB:BB,0,0,1)</f>
        <v>2026-02-18 07:29:00</v>
      </c>
    </row>
    <row r="79" spans="1:12" hidden="1" x14ac:dyDescent="0.15">
      <c r="A79" t="s">
        <v>115</v>
      </c>
      <c r="B79" t="s">
        <v>193</v>
      </c>
      <c r="D79" t="s">
        <v>122</v>
      </c>
      <c r="E79" s="2" t="str">
        <f>VLOOKUP(J79,Sheet1!C:H,5,0)</f>
        <v>已完成</v>
      </c>
      <c r="F79" s="2"/>
      <c r="G79" t="s">
        <v>15</v>
      </c>
      <c r="H79" t="s">
        <v>20</v>
      </c>
      <c r="I79" t="s">
        <v>20</v>
      </c>
      <c r="J79" t="s">
        <v>194</v>
      </c>
    </row>
    <row r="80" spans="1:12" hidden="1" x14ac:dyDescent="0.15">
      <c r="A80" t="s">
        <v>115</v>
      </c>
      <c r="B80" t="s">
        <v>195</v>
      </c>
      <c r="D80" t="s">
        <v>122</v>
      </c>
      <c r="E80" s="2" t="str">
        <f>VLOOKUP(J80,Sheet1!C:H,5,0)</f>
        <v>已完成</v>
      </c>
      <c r="F80" s="2"/>
      <c r="G80" t="s">
        <v>15</v>
      </c>
      <c r="H80" t="s">
        <v>126</v>
      </c>
      <c r="I80" t="s">
        <v>159</v>
      </c>
      <c r="J80" t="s">
        <v>196</v>
      </c>
    </row>
    <row r="81" spans="1:12" hidden="1" x14ac:dyDescent="0.15">
      <c r="A81" t="s">
        <v>115</v>
      </c>
      <c r="B81" t="s">
        <v>197</v>
      </c>
      <c r="C81" s="2" t="str">
        <f>_xlfn.XLOOKUP($B81,Sheet1!$I:$I,Sheet1!AS:AS,0,0,1)</f>
        <v>2026-02-09 00:00:00</v>
      </c>
      <c r="D81" t="s">
        <v>117</v>
      </c>
      <c r="E81" s="2" t="str">
        <f>VLOOKUP(J81,Sheet1!C:H,5,0)</f>
        <v>已完成</v>
      </c>
      <c r="F81" s="2"/>
      <c r="G81" t="s">
        <v>36</v>
      </c>
      <c r="H81" t="s">
        <v>118</v>
      </c>
      <c r="I81" t="s">
        <v>119</v>
      </c>
      <c r="J81" t="s">
        <v>198</v>
      </c>
      <c r="L81" s="2" t="str">
        <f>_xlfn.XLOOKUP(B81,Sheet1!I:I,Sheet1!BB:BB,0,0,1)</f>
        <v>2026-02-12 12:44:00</v>
      </c>
    </row>
    <row r="82" spans="1:12" hidden="1" x14ac:dyDescent="0.15">
      <c r="A82" t="s">
        <v>115</v>
      </c>
      <c r="B82" t="s">
        <v>199</v>
      </c>
      <c r="C82" s="2" t="str">
        <f>_xlfn.XLOOKUP($B82,Sheet1!$I:$I,Sheet1!AS:AS,0,0,1)</f>
        <v>2026-02-16 11:00:00</v>
      </c>
      <c r="D82" t="s">
        <v>117</v>
      </c>
      <c r="E82" s="2" t="str">
        <f>VLOOKUP(J82,Sheet1!C:H,5,0)</f>
        <v>已完成</v>
      </c>
      <c r="F82" s="2"/>
      <c r="G82" t="s">
        <v>125</v>
      </c>
      <c r="H82" t="s">
        <v>126</v>
      </c>
      <c r="I82" t="s">
        <v>126</v>
      </c>
      <c r="J82" t="s">
        <v>200</v>
      </c>
      <c r="L82" s="2" t="str">
        <f>_xlfn.XLOOKUP(B82,Sheet1!I:I,Sheet1!BB:BB,0,0,1)</f>
        <v>2026-02-20 09:21:00</v>
      </c>
    </row>
    <row r="83" spans="1:12" hidden="1" x14ac:dyDescent="0.15">
      <c r="A83" t="s">
        <v>115</v>
      </c>
      <c r="B83" t="s">
        <v>201</v>
      </c>
      <c r="D83" t="s">
        <v>122</v>
      </c>
      <c r="E83" s="2" t="str">
        <f>VLOOKUP(J83,Sheet1!C:H,5,0)</f>
        <v>已完成</v>
      </c>
      <c r="F83" s="2"/>
      <c r="G83" t="s">
        <v>125</v>
      </c>
      <c r="H83" t="s">
        <v>126</v>
      </c>
      <c r="I83" t="s">
        <v>126</v>
      </c>
      <c r="J83" t="s">
        <v>202</v>
      </c>
    </row>
    <row r="84" spans="1:12" hidden="1" x14ac:dyDescent="0.15">
      <c r="A84" t="s">
        <v>115</v>
      </c>
      <c r="B84" t="s">
        <v>203</v>
      </c>
      <c r="D84" t="s">
        <v>122</v>
      </c>
      <c r="E84" s="2" t="str">
        <f>VLOOKUP(J84,Sheet1!C:H,5,0)</f>
        <v>已完成</v>
      </c>
      <c r="F84" s="2"/>
      <c r="G84" t="s">
        <v>125</v>
      </c>
      <c r="H84" t="s">
        <v>126</v>
      </c>
      <c r="I84" t="s">
        <v>126</v>
      </c>
      <c r="J84" t="s">
        <v>204</v>
      </c>
    </row>
    <row r="85" spans="1:12" hidden="1" x14ac:dyDescent="0.15">
      <c r="A85" t="s">
        <v>115</v>
      </c>
      <c r="B85" t="s">
        <v>205</v>
      </c>
      <c r="D85" t="s">
        <v>122</v>
      </c>
      <c r="E85" s="2" t="str">
        <f>VLOOKUP(J85,Sheet1!C:H,5,0)</f>
        <v>已完成</v>
      </c>
      <c r="F85" s="2"/>
      <c r="G85" t="s">
        <v>125</v>
      </c>
      <c r="H85" t="s">
        <v>126</v>
      </c>
      <c r="I85" t="s">
        <v>126</v>
      </c>
      <c r="J85" t="s">
        <v>206</v>
      </c>
    </row>
    <row r="86" spans="1:12" hidden="1" x14ac:dyDescent="0.15">
      <c r="A86" t="s">
        <v>115</v>
      </c>
      <c r="B86" t="s">
        <v>207</v>
      </c>
      <c r="C86" s="2" t="str">
        <f>_xlfn.XLOOKUP($B86,Sheet1!$I:$I,Sheet1!AS:AS,0,0,1)</f>
        <v>2026-02-20 09:04:00</v>
      </c>
      <c r="D86" t="s">
        <v>117</v>
      </c>
      <c r="E86" s="2" t="str">
        <f>VLOOKUP(J86,Sheet1!C:H,5,0)</f>
        <v>已完成</v>
      </c>
      <c r="F86" s="2"/>
      <c r="G86" t="s">
        <v>125</v>
      </c>
      <c r="H86" t="s">
        <v>126</v>
      </c>
      <c r="I86" t="s">
        <v>126</v>
      </c>
      <c r="J86" t="s">
        <v>208</v>
      </c>
      <c r="L86" s="2" t="str">
        <f>_xlfn.XLOOKUP(B86,Sheet1!I:I,Sheet1!BB:BB,0,0,1)</f>
        <v>2026-02-26 14:27:00</v>
      </c>
    </row>
    <row r="87" spans="1:12" hidden="1" x14ac:dyDescent="0.15">
      <c r="A87" t="s">
        <v>115</v>
      </c>
      <c r="B87" t="s">
        <v>209</v>
      </c>
      <c r="C87" s="2" t="str">
        <f>_xlfn.XLOOKUP($B87,Sheet1!$I:$I,Sheet1!AS:AS,0,0,1)</f>
        <v>2026-02-16 11:00:00</v>
      </c>
      <c r="D87" t="s">
        <v>117</v>
      </c>
      <c r="E87" s="2" t="str">
        <f>VLOOKUP(J87,Sheet1!C:H,5,0)</f>
        <v>已完成</v>
      </c>
      <c r="F87" s="2"/>
      <c r="G87" t="s">
        <v>125</v>
      </c>
      <c r="H87" t="s">
        <v>126</v>
      </c>
      <c r="I87" t="s">
        <v>126</v>
      </c>
      <c r="J87" t="s">
        <v>210</v>
      </c>
      <c r="L87" s="2" t="str">
        <f>_xlfn.XLOOKUP(B87,Sheet1!I:I,Sheet1!BB:BB,0,0,1)</f>
        <v>2026-02-20 06:43:00</v>
      </c>
    </row>
    <row r="88" spans="1:12" hidden="1" x14ac:dyDescent="0.15">
      <c r="A88" t="s">
        <v>115</v>
      </c>
      <c r="B88" t="s">
        <v>211</v>
      </c>
      <c r="C88" s="2" t="str">
        <f>_xlfn.XLOOKUP($B88,Sheet1!$I:$I,Sheet1!AS:AS,0,0,1)</f>
        <v>2026-02-16 11:00:00</v>
      </c>
      <c r="D88" t="s">
        <v>117</v>
      </c>
      <c r="E88" s="2" t="str">
        <f>VLOOKUP(J88,Sheet1!C:H,5,0)</f>
        <v>已完成</v>
      </c>
      <c r="F88" s="2"/>
      <c r="G88" t="s">
        <v>125</v>
      </c>
      <c r="H88" t="s">
        <v>126</v>
      </c>
      <c r="I88" t="s">
        <v>126</v>
      </c>
      <c r="J88" t="s">
        <v>212</v>
      </c>
      <c r="L88" s="2" t="str">
        <f>_xlfn.XLOOKUP(B88,Sheet1!I:I,Sheet1!BB:BB,0,0,1)</f>
        <v>2026-02-20 09:26:00</v>
      </c>
    </row>
    <row r="89" spans="1:12" hidden="1" x14ac:dyDescent="0.15">
      <c r="A89" t="s">
        <v>115</v>
      </c>
      <c r="B89" t="s">
        <v>213</v>
      </c>
      <c r="D89" t="s">
        <v>122</v>
      </c>
      <c r="E89" s="2" t="str">
        <f>VLOOKUP(J89,Sheet1!C:H,5,0)</f>
        <v>已完成</v>
      </c>
      <c r="F89" s="2"/>
      <c r="G89" t="s">
        <v>15</v>
      </c>
      <c r="H89" t="s">
        <v>126</v>
      </c>
      <c r="I89" t="s">
        <v>159</v>
      </c>
      <c r="J89" t="s">
        <v>214</v>
      </c>
    </row>
    <row r="90" spans="1:12" hidden="1" x14ac:dyDescent="0.15">
      <c r="A90" t="s">
        <v>115</v>
      </c>
      <c r="B90" t="s">
        <v>215</v>
      </c>
      <c r="D90" t="s">
        <v>122</v>
      </c>
      <c r="E90" s="2" t="str">
        <f>VLOOKUP(J90,Sheet1!C:H,5,0)</f>
        <v>已完成</v>
      </c>
      <c r="F90" s="2"/>
      <c r="G90" t="s">
        <v>15</v>
      </c>
      <c r="H90" t="s">
        <v>126</v>
      </c>
      <c r="I90" t="s">
        <v>159</v>
      </c>
      <c r="J90" t="s">
        <v>216</v>
      </c>
    </row>
    <row r="91" spans="1:12" hidden="1" x14ac:dyDescent="0.15">
      <c r="A91" t="s">
        <v>115</v>
      </c>
      <c r="B91" t="s">
        <v>217</v>
      </c>
      <c r="C91" s="2" t="str">
        <f>_xlfn.XLOOKUP($B91,Sheet1!$I:$I,Sheet1!AS:AS,0,0,1)</f>
        <v>2026-02-12 00:00:00</v>
      </c>
      <c r="D91" t="s">
        <v>117</v>
      </c>
      <c r="E91" s="2" t="str">
        <f>VLOOKUP(J91,Sheet1!C:H,5,0)</f>
        <v>已完成</v>
      </c>
      <c r="F91" s="2"/>
      <c r="G91" t="s">
        <v>36</v>
      </c>
      <c r="H91" t="s">
        <v>159</v>
      </c>
      <c r="I91" t="s">
        <v>159</v>
      </c>
      <c r="J91" t="s">
        <v>218</v>
      </c>
      <c r="L91" s="2" t="str">
        <f>_xlfn.XLOOKUP(B91,Sheet1!I:I,Sheet1!BB:BB,0,0,1)</f>
        <v>2026-02-20 07:55:00</v>
      </c>
    </row>
    <row r="92" spans="1:12" hidden="1" x14ac:dyDescent="0.15">
      <c r="A92" t="s">
        <v>115</v>
      </c>
      <c r="B92" t="s">
        <v>219</v>
      </c>
      <c r="C92" s="2" t="str">
        <f>_xlfn.XLOOKUP($B92,Sheet1!$I:$I,Sheet1!AS:AS,0,0,1)</f>
        <v>2026-02-17 23:59:59</v>
      </c>
      <c r="D92" t="s">
        <v>117</v>
      </c>
      <c r="E92" s="2" t="str">
        <f>VLOOKUP(J92,Sheet1!C:H,5,0)</f>
        <v>已完成</v>
      </c>
      <c r="F92" s="2"/>
      <c r="G92" t="s">
        <v>15</v>
      </c>
      <c r="H92" t="s">
        <v>126</v>
      </c>
      <c r="I92" t="s">
        <v>159</v>
      </c>
      <c r="J92" t="s">
        <v>220</v>
      </c>
      <c r="L92" s="2" t="str">
        <f>_xlfn.XLOOKUP(B92,Sheet1!I:I,Sheet1!BB:BB,0,0,1)</f>
        <v>2026-02-23 15:56:00</v>
      </c>
    </row>
    <row r="93" spans="1:12" hidden="1" x14ac:dyDescent="0.15">
      <c r="A93" t="s">
        <v>115</v>
      </c>
      <c r="B93" t="s">
        <v>221</v>
      </c>
      <c r="C93" s="2" t="str">
        <f>_xlfn.XLOOKUP($B93,Sheet1!$I:$I,Sheet1!AS:AS,0,0,1)</f>
        <v>2026-02-19 10:38:00</v>
      </c>
      <c r="D93" t="s">
        <v>117</v>
      </c>
      <c r="E93" s="2" t="str">
        <f>VLOOKUP(J93,Sheet1!C:H,5,0)</f>
        <v>已完成</v>
      </c>
      <c r="F93" s="2"/>
      <c r="G93" t="s">
        <v>125</v>
      </c>
      <c r="H93" t="s">
        <v>126</v>
      </c>
      <c r="I93" t="s">
        <v>126</v>
      </c>
      <c r="J93" t="s">
        <v>222</v>
      </c>
      <c r="L93" s="2" t="str">
        <f>_xlfn.XLOOKUP(B93,Sheet1!I:I,Sheet1!BB:BB,0,0,1)</f>
        <v>2026-02-26 10:10:00</v>
      </c>
    </row>
    <row r="94" spans="1:12" hidden="1" x14ac:dyDescent="0.15">
      <c r="A94" t="s">
        <v>115</v>
      </c>
      <c r="B94" t="s">
        <v>223</v>
      </c>
      <c r="C94" s="2" t="str">
        <f>_xlfn.XLOOKUP($B94,Sheet1!$I:$I,Sheet1!AS:AS,0,0,1)</f>
        <v>2026-02-19 15:39:00</v>
      </c>
      <c r="D94" t="s">
        <v>117</v>
      </c>
      <c r="E94" s="2" t="str">
        <f>VLOOKUP(J94,Sheet1!C:H,5,0)</f>
        <v>已完成</v>
      </c>
      <c r="F94" s="2"/>
      <c r="G94" t="s">
        <v>125</v>
      </c>
      <c r="H94" t="s">
        <v>126</v>
      </c>
      <c r="I94" t="s">
        <v>126</v>
      </c>
      <c r="J94" t="s">
        <v>224</v>
      </c>
      <c r="L94" s="2" t="str">
        <f>_xlfn.XLOOKUP(B94,Sheet1!I:I,Sheet1!BB:BB,0,0,1)</f>
        <v>2026-02-26 14:51:00</v>
      </c>
    </row>
    <row r="95" spans="1:12" hidden="1" x14ac:dyDescent="0.15">
      <c r="A95" t="s">
        <v>115</v>
      </c>
      <c r="B95" t="s">
        <v>225</v>
      </c>
      <c r="C95" s="2" t="str">
        <f>_xlfn.XLOOKUP($B95,Sheet1!$I:$I,Sheet1!AS:AS,0,0,1)</f>
        <v>2026-02-17 23:59:59</v>
      </c>
      <c r="D95" t="s">
        <v>117</v>
      </c>
      <c r="E95" s="2" t="str">
        <f>VLOOKUP(J95,Sheet1!C:H,5,0)</f>
        <v>已完成</v>
      </c>
      <c r="F95" s="2"/>
      <c r="G95" t="s">
        <v>15</v>
      </c>
      <c r="H95" t="s">
        <v>126</v>
      </c>
      <c r="I95" t="s">
        <v>159</v>
      </c>
      <c r="J95" t="s">
        <v>226</v>
      </c>
      <c r="L95" s="2" t="str">
        <f>_xlfn.XLOOKUP(B95,Sheet1!I:I,Sheet1!BB:BB,0,0,1)</f>
        <v>2026-02-24 07:20:00</v>
      </c>
    </row>
    <row r="96" spans="1:12" hidden="1" x14ac:dyDescent="0.15">
      <c r="A96" t="s">
        <v>115</v>
      </c>
      <c r="B96" t="s">
        <v>227</v>
      </c>
      <c r="D96" t="s">
        <v>122</v>
      </c>
      <c r="E96" s="2" t="str">
        <f>VLOOKUP(J96,Sheet1!C:H,5,0)</f>
        <v>已完成</v>
      </c>
      <c r="F96" s="2"/>
      <c r="G96" t="s">
        <v>125</v>
      </c>
      <c r="H96" t="s">
        <v>126</v>
      </c>
      <c r="I96" t="s">
        <v>126</v>
      </c>
      <c r="J96" t="s">
        <v>228</v>
      </c>
    </row>
    <row r="97" spans="1:12" hidden="1" x14ac:dyDescent="0.15">
      <c r="A97" t="s">
        <v>115</v>
      </c>
      <c r="B97" t="s">
        <v>229</v>
      </c>
      <c r="D97" t="s">
        <v>122</v>
      </c>
      <c r="E97" s="2" t="str">
        <f>VLOOKUP(J97,Sheet1!C:H,5,0)</f>
        <v>未清关</v>
      </c>
      <c r="F97" s="2"/>
      <c r="G97" t="s">
        <v>125</v>
      </c>
      <c r="H97" t="s">
        <v>126</v>
      </c>
      <c r="I97" t="s">
        <v>126</v>
      </c>
      <c r="J97" t="s">
        <v>230</v>
      </c>
    </row>
    <row r="98" spans="1:12" hidden="1" x14ac:dyDescent="0.15">
      <c r="A98" t="s">
        <v>115</v>
      </c>
      <c r="B98" t="s">
        <v>231</v>
      </c>
      <c r="C98" s="2" t="str">
        <f>_xlfn.XLOOKUP($B98,Sheet1!$I:$I,Sheet1!AS:AS,0,0,1)</f>
        <v>2026-02-12 00:00:00</v>
      </c>
      <c r="D98" t="s">
        <v>117</v>
      </c>
      <c r="E98" s="2" t="str">
        <f>VLOOKUP(J98,Sheet1!C:H,5,0)</f>
        <v>已完成</v>
      </c>
      <c r="F98" s="2"/>
      <c r="G98" t="s">
        <v>36</v>
      </c>
      <c r="H98" t="s">
        <v>159</v>
      </c>
      <c r="I98" t="s">
        <v>159</v>
      </c>
      <c r="J98" t="s">
        <v>232</v>
      </c>
      <c r="L98" s="2" t="str">
        <f>_xlfn.XLOOKUP(B98,Sheet1!I:I,Sheet1!BB:BB,0,0,1)</f>
        <v>2026-02-23 07:06:00</v>
      </c>
    </row>
    <row r="99" spans="1:12" hidden="1" x14ac:dyDescent="0.15">
      <c r="A99" t="s">
        <v>115</v>
      </c>
      <c r="B99" t="s">
        <v>233</v>
      </c>
      <c r="C99" s="2" t="str">
        <f>_xlfn.XLOOKUP($B99,Sheet1!$I:$I,Sheet1!AS:AS,0,0,1)</f>
        <v>2026-02-09 00:00:00</v>
      </c>
      <c r="D99" t="s">
        <v>117</v>
      </c>
      <c r="E99" s="2" t="str">
        <f>VLOOKUP(J99,Sheet1!C:H,5,0)</f>
        <v>已完成</v>
      </c>
      <c r="F99" s="2"/>
      <c r="G99" t="s">
        <v>36</v>
      </c>
      <c r="H99" t="s">
        <v>118</v>
      </c>
      <c r="I99" t="s">
        <v>119</v>
      </c>
      <c r="J99" t="s">
        <v>234</v>
      </c>
      <c r="L99" s="2" t="str">
        <f>_xlfn.XLOOKUP(B99,Sheet1!I:I,Sheet1!BB:BB,0,0,1)</f>
        <v>2026-02-12 13:06:00</v>
      </c>
    </row>
    <row r="100" spans="1:12" hidden="1" x14ac:dyDescent="0.15">
      <c r="A100" t="s">
        <v>115</v>
      </c>
      <c r="B100" t="s">
        <v>235</v>
      </c>
      <c r="D100" t="s">
        <v>122</v>
      </c>
      <c r="E100" s="2" t="str">
        <f>VLOOKUP(J100,Sheet1!C:H,5,0)</f>
        <v>已完成</v>
      </c>
      <c r="F100" s="2"/>
      <c r="G100" t="s">
        <v>15</v>
      </c>
      <c r="H100" t="s">
        <v>126</v>
      </c>
      <c r="I100" t="s">
        <v>159</v>
      </c>
      <c r="J100" t="s">
        <v>236</v>
      </c>
    </row>
    <row r="101" spans="1:12" hidden="1" x14ac:dyDescent="0.15">
      <c r="A101" t="s">
        <v>115</v>
      </c>
      <c r="B101" t="s">
        <v>237</v>
      </c>
      <c r="C101" s="2" t="str">
        <f>_xlfn.XLOOKUP($B101,Sheet1!$I:$I,Sheet1!AS:AS,0,0,1)</f>
        <v>2026-02-17 23:59:59</v>
      </c>
      <c r="D101" t="s">
        <v>117</v>
      </c>
      <c r="E101" s="2" t="str">
        <f>VLOOKUP(J101,Sheet1!C:H,5,0)</f>
        <v>已完成</v>
      </c>
      <c r="F101" s="2"/>
      <c r="G101" t="s">
        <v>15</v>
      </c>
      <c r="H101" t="s">
        <v>126</v>
      </c>
      <c r="I101" t="s">
        <v>159</v>
      </c>
      <c r="J101" t="s">
        <v>238</v>
      </c>
      <c r="L101" s="2" t="str">
        <f>_xlfn.XLOOKUP(B101,Sheet1!I:I,Sheet1!BB:BB,0,0,1)</f>
        <v>2026-02-21 08:35:00</v>
      </c>
    </row>
    <row r="102" spans="1:12" hidden="1" x14ac:dyDescent="0.15">
      <c r="A102" t="s">
        <v>115</v>
      </c>
      <c r="B102" t="s">
        <v>239</v>
      </c>
      <c r="C102" s="2" t="str">
        <f>_xlfn.XLOOKUP($B102,Sheet1!$I:$I,Sheet1!AS:AS,0,0,1)</f>
        <v>2026-02-17 23:59:59</v>
      </c>
      <c r="D102" t="s">
        <v>117</v>
      </c>
      <c r="E102" s="2" t="str">
        <f>VLOOKUP(J102,Sheet1!C:H,5,0)</f>
        <v>已完成</v>
      </c>
      <c r="F102" s="2"/>
      <c r="G102" t="s">
        <v>15</v>
      </c>
      <c r="H102" t="s">
        <v>126</v>
      </c>
      <c r="I102" t="s">
        <v>159</v>
      </c>
      <c r="J102" t="s">
        <v>240</v>
      </c>
      <c r="L102" s="2" t="str">
        <f>_xlfn.XLOOKUP(B102,Sheet1!I:I,Sheet1!BB:BB,0,0,1)</f>
        <v>2026-02-24 09:07:00</v>
      </c>
    </row>
    <row r="103" spans="1:12" hidden="1" x14ac:dyDescent="0.15">
      <c r="A103" t="s">
        <v>115</v>
      </c>
      <c r="B103" t="s">
        <v>241</v>
      </c>
      <c r="C103" s="2" t="str">
        <f>_xlfn.XLOOKUP($B103,Sheet1!$I:$I,Sheet1!AS:AS,0,0,1)</f>
        <v>2026-02-16 11:00:00</v>
      </c>
      <c r="D103" t="s">
        <v>117</v>
      </c>
      <c r="E103" s="2" t="str">
        <f>VLOOKUP(J103,Sheet1!C:H,5,0)</f>
        <v>已完成</v>
      </c>
      <c r="F103" s="2"/>
      <c r="G103" t="s">
        <v>125</v>
      </c>
      <c r="H103" t="s">
        <v>126</v>
      </c>
      <c r="I103" t="s">
        <v>126</v>
      </c>
      <c r="J103" t="s">
        <v>242</v>
      </c>
      <c r="L103" s="2" t="str">
        <f>_xlfn.XLOOKUP(B103,Sheet1!I:I,Sheet1!BB:BB,0,0,1)</f>
        <v>2026-02-20 13:22:00</v>
      </c>
    </row>
    <row r="104" spans="1:12" hidden="1" x14ac:dyDescent="0.15">
      <c r="A104" t="s">
        <v>115</v>
      </c>
      <c r="B104" t="s">
        <v>243</v>
      </c>
      <c r="C104" s="2" t="str">
        <f>_xlfn.XLOOKUP($B104,Sheet1!$I:$I,Sheet1!AS:AS,0,0,1)</f>
        <v>2026-02-17 23:59:59</v>
      </c>
      <c r="D104" t="s">
        <v>117</v>
      </c>
      <c r="E104" s="2" t="str">
        <f>VLOOKUP(J104,Sheet1!C:H,5,0)</f>
        <v>已完成</v>
      </c>
      <c r="F104" s="2"/>
      <c r="G104" t="s">
        <v>15</v>
      </c>
      <c r="H104" t="s">
        <v>126</v>
      </c>
      <c r="I104" t="s">
        <v>159</v>
      </c>
      <c r="J104" t="s">
        <v>244</v>
      </c>
      <c r="L104" s="2" t="str">
        <f>_xlfn.XLOOKUP(B104,Sheet1!I:I,Sheet1!BB:BB,0,0,1)</f>
        <v>2026-02-26 10:34:00</v>
      </c>
    </row>
    <row r="105" spans="1:12" hidden="1" x14ac:dyDescent="0.15">
      <c r="A105" t="s">
        <v>115</v>
      </c>
      <c r="B105" t="s">
        <v>245</v>
      </c>
      <c r="C105" s="2" t="str">
        <f>_xlfn.XLOOKUP($B105,Sheet1!$I:$I,Sheet1!AS:AS,0,0,1)</f>
        <v>2026-02-12 00:00:00</v>
      </c>
      <c r="D105" t="s">
        <v>117</v>
      </c>
      <c r="E105" s="2" t="str">
        <f>VLOOKUP(J105,Sheet1!C:H,5,0)</f>
        <v>已完成</v>
      </c>
      <c r="F105" s="2"/>
      <c r="G105" t="s">
        <v>36</v>
      </c>
      <c r="H105" t="s">
        <v>159</v>
      </c>
      <c r="I105" t="s">
        <v>159</v>
      </c>
      <c r="J105" t="s">
        <v>246</v>
      </c>
      <c r="L105" s="2" t="str">
        <f>_xlfn.XLOOKUP(B105,Sheet1!I:I,Sheet1!BB:BB,0,0,1)</f>
        <v>2026-02-23 09:04:00</v>
      </c>
    </row>
    <row r="106" spans="1:12" hidden="1" x14ac:dyDescent="0.15">
      <c r="A106" t="s">
        <v>115</v>
      </c>
      <c r="B106" t="s">
        <v>247</v>
      </c>
      <c r="D106" t="s">
        <v>122</v>
      </c>
      <c r="E106" s="2" t="str">
        <f>VLOOKUP(J106,Sheet1!C:H,5,0)</f>
        <v>已完成</v>
      </c>
      <c r="F106" s="2"/>
      <c r="G106" t="s">
        <v>15</v>
      </c>
      <c r="H106" t="s">
        <v>126</v>
      </c>
      <c r="I106" t="s">
        <v>159</v>
      </c>
      <c r="J106" t="s">
        <v>248</v>
      </c>
    </row>
    <row r="107" spans="1:12" hidden="1" x14ac:dyDescent="0.15">
      <c r="A107" t="s">
        <v>115</v>
      </c>
      <c r="B107" t="s">
        <v>249</v>
      </c>
      <c r="D107" t="s">
        <v>122</v>
      </c>
      <c r="E107" s="2" t="str">
        <f>VLOOKUP(J107,Sheet1!C:H,5,0)</f>
        <v>已完成</v>
      </c>
      <c r="F107" s="2"/>
      <c r="G107" t="s">
        <v>125</v>
      </c>
      <c r="H107" t="s">
        <v>126</v>
      </c>
      <c r="I107" t="s">
        <v>126</v>
      </c>
      <c r="J107" t="s">
        <v>250</v>
      </c>
    </row>
    <row r="108" spans="1:12" hidden="1" x14ac:dyDescent="0.15">
      <c r="A108" t="s">
        <v>115</v>
      </c>
      <c r="B108" t="s">
        <v>251</v>
      </c>
      <c r="D108" t="s">
        <v>122</v>
      </c>
      <c r="E108" s="2" t="str">
        <f>VLOOKUP(J108,Sheet1!C:H,5,0)</f>
        <v>已完成</v>
      </c>
      <c r="F108" s="2"/>
      <c r="G108" t="s">
        <v>125</v>
      </c>
      <c r="H108" t="s">
        <v>129</v>
      </c>
      <c r="I108" t="s">
        <v>80</v>
      </c>
      <c r="J108" t="s">
        <v>252</v>
      </c>
    </row>
    <row r="109" spans="1:12" hidden="1" x14ac:dyDescent="0.15">
      <c r="A109" t="s">
        <v>115</v>
      </c>
      <c r="B109" t="s">
        <v>253</v>
      </c>
      <c r="C109" s="2" t="str">
        <f>_xlfn.XLOOKUP($B109,Sheet1!$I:$I,Sheet1!AS:AS,0,0,1)</f>
        <v>2026-02-15 21:10:35</v>
      </c>
      <c r="D109" t="s">
        <v>117</v>
      </c>
      <c r="E109" s="2" t="str">
        <f>VLOOKUP(J109,Sheet1!C:H,5,0)</f>
        <v>已完成</v>
      </c>
      <c r="F109" s="2"/>
      <c r="G109" t="s">
        <v>125</v>
      </c>
      <c r="H109" t="s">
        <v>129</v>
      </c>
      <c r="I109" t="s">
        <v>80</v>
      </c>
      <c r="J109" t="s">
        <v>254</v>
      </c>
      <c r="L109" s="2" t="str">
        <f>_xlfn.XLOOKUP(B109,Sheet1!I:I,Sheet1!BB:BB,0,0,1)</f>
        <v>2026-02-20 00:00:00</v>
      </c>
    </row>
    <row r="110" spans="1:12" hidden="1" x14ac:dyDescent="0.15">
      <c r="A110" t="s">
        <v>115</v>
      </c>
      <c r="B110" t="s">
        <v>255</v>
      </c>
      <c r="C110" s="2" t="str">
        <f>_xlfn.XLOOKUP($B110,Sheet1!$I:$I,Sheet1!AS:AS,0,0,1)</f>
        <v>2026-02-09 00:00:00</v>
      </c>
      <c r="D110" t="s">
        <v>117</v>
      </c>
      <c r="E110" s="2" t="str">
        <f>VLOOKUP(J110,Sheet1!C:H,5,0)</f>
        <v>已完成</v>
      </c>
      <c r="F110" s="2"/>
      <c r="G110" t="s">
        <v>19</v>
      </c>
      <c r="H110" t="s">
        <v>148</v>
      </c>
      <c r="I110" t="s">
        <v>148</v>
      </c>
      <c r="J110" t="s">
        <v>256</v>
      </c>
      <c r="L110" s="2" t="str">
        <f>_xlfn.XLOOKUP(B110,Sheet1!I:I,Sheet1!BB:BB,0,0,1)</f>
        <v>2026-02-18 00:00:00</v>
      </c>
    </row>
    <row r="111" spans="1:12" hidden="1" x14ac:dyDescent="0.15">
      <c r="A111" t="s">
        <v>115</v>
      </c>
      <c r="B111" t="s">
        <v>257</v>
      </c>
      <c r="C111" s="2" t="str">
        <f>_xlfn.XLOOKUP($B111,Sheet1!$I:$I,Sheet1!AS:AS,0,0,1)</f>
        <v>2026-02-19 23:59:59</v>
      </c>
      <c r="D111" t="s">
        <v>117</v>
      </c>
      <c r="E111" s="2" t="str">
        <f>VLOOKUP(J111,Sheet1!C:H,5,0)</f>
        <v>已完成</v>
      </c>
      <c r="F111" s="2"/>
      <c r="G111" t="s">
        <v>15</v>
      </c>
      <c r="H111" t="s">
        <v>135</v>
      </c>
      <c r="I111" t="s">
        <v>135</v>
      </c>
      <c r="J111" t="s">
        <v>258</v>
      </c>
      <c r="L111" s="2" t="str">
        <f>_xlfn.XLOOKUP(B111,Sheet1!I:I,Sheet1!BB:BB,0,0,1)</f>
        <v>2026-02-24 16:51:19</v>
      </c>
    </row>
    <row r="112" spans="1:12" hidden="1" x14ac:dyDescent="0.15">
      <c r="A112" t="s">
        <v>115</v>
      </c>
      <c r="B112" t="s">
        <v>259</v>
      </c>
      <c r="C112" s="2" t="str">
        <f>_xlfn.XLOOKUP($B112,Sheet1!$I:$I,Sheet1!AS:AS,0,0,1)</f>
        <v>2026-02-19 23:59:59</v>
      </c>
      <c r="D112" t="s">
        <v>117</v>
      </c>
      <c r="E112" s="2" t="str">
        <f>VLOOKUP(J112,Sheet1!C:H,5,0)</f>
        <v>已完成</v>
      </c>
      <c r="F112" s="2"/>
      <c r="G112" t="s">
        <v>15</v>
      </c>
      <c r="H112" t="s">
        <v>135</v>
      </c>
      <c r="I112" t="s">
        <v>135</v>
      </c>
      <c r="J112" t="s">
        <v>260</v>
      </c>
      <c r="L112" s="2" t="str">
        <f>_xlfn.XLOOKUP(B112,Sheet1!I:I,Sheet1!BB:BB,0,0,1)</f>
        <v>2026-02-26 08:06:00</v>
      </c>
    </row>
    <row r="113" spans="1:12" hidden="1" x14ac:dyDescent="0.15">
      <c r="A113" t="s">
        <v>115</v>
      </c>
      <c r="B113" t="s">
        <v>261</v>
      </c>
      <c r="C113" s="2" t="str">
        <f>_xlfn.XLOOKUP($B113,Sheet1!$I:$I,Sheet1!AS:AS,0,0,1)</f>
        <v>2026-02-12 00:00:00</v>
      </c>
      <c r="D113" t="s">
        <v>117</v>
      </c>
      <c r="E113" s="2" t="str">
        <f>VLOOKUP(J113,Sheet1!C:H,5,0)</f>
        <v>已完成</v>
      </c>
      <c r="F113" s="2"/>
      <c r="G113" t="s">
        <v>19</v>
      </c>
      <c r="H113" t="s">
        <v>159</v>
      </c>
      <c r="I113" t="s">
        <v>160</v>
      </c>
      <c r="J113" t="s">
        <v>262</v>
      </c>
      <c r="L113" s="2" t="str">
        <f>_xlfn.XLOOKUP(B113,Sheet1!I:I,Sheet1!BB:BB,0,0,1)</f>
        <v>2026-02-20 07:31:00</v>
      </c>
    </row>
    <row r="114" spans="1:12" hidden="1" x14ac:dyDescent="0.15">
      <c r="A114" t="s">
        <v>115</v>
      </c>
      <c r="B114" t="s">
        <v>263</v>
      </c>
      <c r="C114" s="2" t="str">
        <f>_xlfn.XLOOKUP($B114,Sheet1!$I:$I,Sheet1!AS:AS,0,0,1)</f>
        <v>2026-01-27 00:00:00</v>
      </c>
      <c r="D114" t="s">
        <v>117</v>
      </c>
      <c r="E114" s="2" t="str">
        <f>VLOOKUP(J114,Sheet1!C:H,5,0)</f>
        <v>已完成</v>
      </c>
      <c r="F114" s="2"/>
      <c r="G114" t="s">
        <v>19</v>
      </c>
      <c r="H114" t="s">
        <v>264</v>
      </c>
      <c r="I114" t="s">
        <v>265</v>
      </c>
      <c r="J114" t="s">
        <v>266</v>
      </c>
      <c r="L114" s="2" t="str">
        <f>_xlfn.XLOOKUP(B114,Sheet1!I:I,Sheet1!BB:BB,0,0,1)</f>
        <v>2026-01-30 17:12:00</v>
      </c>
    </row>
    <row r="115" spans="1:12" hidden="1" x14ac:dyDescent="0.15">
      <c r="A115" t="s">
        <v>115</v>
      </c>
      <c r="B115" t="s">
        <v>267</v>
      </c>
      <c r="C115" s="2" t="str">
        <f>_xlfn.XLOOKUP($B115,Sheet1!$I:$I,Sheet1!AS:AS,0,0,1)</f>
        <v>2026-02-19 23:59:59</v>
      </c>
      <c r="D115" t="s">
        <v>117</v>
      </c>
      <c r="E115" s="2" t="str">
        <f>VLOOKUP(J115,Sheet1!C:H,5,0)</f>
        <v>已完成</v>
      </c>
      <c r="F115" s="2"/>
      <c r="G115" t="s">
        <v>15</v>
      </c>
      <c r="H115" t="s">
        <v>135</v>
      </c>
      <c r="I115" t="s">
        <v>135</v>
      </c>
      <c r="J115" t="s">
        <v>268</v>
      </c>
      <c r="L115" s="2" t="str">
        <f>_xlfn.XLOOKUP(B115,Sheet1!I:I,Sheet1!BB:BB,0,0,1)</f>
        <v>2026-02-21 13:20:00</v>
      </c>
    </row>
    <row r="116" spans="1:12" hidden="1" x14ac:dyDescent="0.15">
      <c r="A116" t="s">
        <v>115</v>
      </c>
      <c r="B116" t="s">
        <v>269</v>
      </c>
      <c r="C116" s="2" t="str">
        <f>_xlfn.XLOOKUP($B116,Sheet1!$I:$I,Sheet1!AS:AS,0,0,1)</f>
        <v>2026-02-19 23:59:59</v>
      </c>
      <c r="D116" t="s">
        <v>117</v>
      </c>
      <c r="E116" s="2" t="str">
        <f>VLOOKUP(J116,Sheet1!C:H,5,0)</f>
        <v>已完成</v>
      </c>
      <c r="F116" s="2"/>
      <c r="G116" t="s">
        <v>15</v>
      </c>
      <c r="H116" t="s">
        <v>135</v>
      </c>
      <c r="I116" t="s">
        <v>135</v>
      </c>
      <c r="J116" t="s">
        <v>270</v>
      </c>
      <c r="L116" s="2" t="str">
        <f>_xlfn.XLOOKUP(B116,Sheet1!I:I,Sheet1!BB:BB,0,0,1)</f>
        <v>2026-02-25 06:06:00</v>
      </c>
    </row>
    <row r="117" spans="1:12" hidden="1" x14ac:dyDescent="0.15">
      <c r="A117" t="s">
        <v>115</v>
      </c>
      <c r="B117" t="s">
        <v>271</v>
      </c>
      <c r="C117" s="2" t="str">
        <f>_xlfn.XLOOKUP($B117,Sheet1!$I:$I,Sheet1!AS:AS,0,0,1)</f>
        <v>2026-02-07 12:42:00</v>
      </c>
      <c r="D117" t="s">
        <v>117</v>
      </c>
      <c r="E117" s="2" t="str">
        <f>VLOOKUP(J117,Sheet1!C:H,5,0)</f>
        <v>已完成</v>
      </c>
      <c r="F117" s="2"/>
      <c r="G117" t="s">
        <v>15</v>
      </c>
      <c r="H117" t="s">
        <v>138</v>
      </c>
      <c r="I117" t="s">
        <v>139</v>
      </c>
      <c r="J117" t="s">
        <v>272</v>
      </c>
      <c r="L117" s="2" t="str">
        <f>_xlfn.XLOOKUP(B117,Sheet1!I:I,Sheet1!BB:BB,0,0,1)</f>
        <v>2026-02-12 07:24:00</v>
      </c>
    </row>
    <row r="118" spans="1:12" hidden="1" x14ac:dyDescent="0.15">
      <c r="A118" t="s">
        <v>115</v>
      </c>
      <c r="B118" t="s">
        <v>273</v>
      </c>
      <c r="D118" t="s">
        <v>122</v>
      </c>
      <c r="E118" s="2" t="str">
        <f>VLOOKUP(J118,Sheet1!C:H,5,0)</f>
        <v>未清关</v>
      </c>
      <c r="F118" s="2"/>
      <c r="G118" t="s">
        <v>11</v>
      </c>
      <c r="H118" t="s">
        <v>12</v>
      </c>
      <c r="I118" t="s">
        <v>12</v>
      </c>
      <c r="J118" t="s">
        <v>274</v>
      </c>
    </row>
    <row r="119" spans="1:12" hidden="1" x14ac:dyDescent="0.15">
      <c r="A119" t="s">
        <v>115</v>
      </c>
      <c r="B119" t="s">
        <v>275</v>
      </c>
      <c r="C119" s="2" t="str">
        <f>_xlfn.XLOOKUP($B119,Sheet1!$I:$I,Sheet1!AS:AS,0,0,1)</f>
        <v>2026-02-09 00:00:00</v>
      </c>
      <c r="D119" t="s">
        <v>117</v>
      </c>
      <c r="E119" s="2" t="str">
        <f>VLOOKUP(J119,Sheet1!C:H,5,0)</f>
        <v>已完成</v>
      </c>
      <c r="F119" s="2"/>
      <c r="G119" t="s">
        <v>19</v>
      </c>
      <c r="H119" t="s">
        <v>118</v>
      </c>
      <c r="I119" t="s">
        <v>119</v>
      </c>
      <c r="J119" t="s">
        <v>276</v>
      </c>
      <c r="L119" s="2" t="str">
        <f>_xlfn.XLOOKUP(B119,Sheet1!I:I,Sheet1!BB:BB,0,0,1)</f>
        <v>2026-02-15 07:13:00</v>
      </c>
    </row>
    <row r="120" spans="1:12" hidden="1" x14ac:dyDescent="0.15">
      <c r="A120" t="s">
        <v>115</v>
      </c>
      <c r="B120" t="s">
        <v>277</v>
      </c>
      <c r="C120" s="2" t="str">
        <f>_xlfn.XLOOKUP($B120,Sheet1!$I:$I,Sheet1!AS:AS,0,0,1)</f>
        <v>2026-02-12 00:00:00</v>
      </c>
      <c r="D120" t="s">
        <v>117</v>
      </c>
      <c r="E120" s="2" t="str">
        <f>VLOOKUP(J120,Sheet1!C:H,5,0)</f>
        <v>未清关</v>
      </c>
      <c r="F120" s="2"/>
      <c r="G120" t="s">
        <v>19</v>
      </c>
      <c r="H120" t="s">
        <v>159</v>
      </c>
      <c r="I120" t="s">
        <v>160</v>
      </c>
      <c r="J120" t="s">
        <v>278</v>
      </c>
      <c r="L120" s="2" t="str">
        <f>_xlfn.XLOOKUP(B120,Sheet1!I:I,Sheet1!BB:BB,0,0,1)</f>
        <v>2026-02-24 07:09:00</v>
      </c>
    </row>
    <row r="121" spans="1:12" hidden="1" x14ac:dyDescent="0.15">
      <c r="A121" t="s">
        <v>115</v>
      </c>
      <c r="B121" t="s">
        <v>279</v>
      </c>
      <c r="C121" s="2" t="str">
        <f>_xlfn.XLOOKUP($B121,Sheet1!$I:$I,Sheet1!AS:AS,0,0,1)</f>
        <v>2026-02-12 00:00:00</v>
      </c>
      <c r="D121" t="s">
        <v>117</v>
      </c>
      <c r="E121" s="2" t="str">
        <f>VLOOKUP(J121,Sheet1!C:H,5,0)</f>
        <v>已完成</v>
      </c>
      <c r="F121" s="2"/>
      <c r="G121" t="s">
        <v>19</v>
      </c>
      <c r="H121" t="s">
        <v>159</v>
      </c>
      <c r="I121" t="s">
        <v>160</v>
      </c>
      <c r="J121" t="s">
        <v>280</v>
      </c>
      <c r="L121" s="2" t="str">
        <f>_xlfn.XLOOKUP(B121,Sheet1!I:I,Sheet1!BB:BB,0,0,1)</f>
        <v>2026-02-19 07:02:00</v>
      </c>
    </row>
    <row r="122" spans="1:12" hidden="1" x14ac:dyDescent="0.15">
      <c r="A122" t="s">
        <v>115</v>
      </c>
      <c r="B122" t="s">
        <v>281</v>
      </c>
      <c r="D122" t="s">
        <v>122</v>
      </c>
      <c r="E122" s="2" t="str">
        <f>VLOOKUP(J122,Sheet1!C:H,5,0)</f>
        <v>已完成</v>
      </c>
      <c r="F122" s="2"/>
      <c r="G122" t="s">
        <v>19</v>
      </c>
      <c r="H122" t="s">
        <v>12</v>
      </c>
      <c r="I122" t="s">
        <v>12</v>
      </c>
      <c r="J122" t="s">
        <v>282</v>
      </c>
    </row>
    <row r="123" spans="1:12" hidden="1" x14ac:dyDescent="0.15">
      <c r="A123" t="s">
        <v>115</v>
      </c>
      <c r="B123" t="s">
        <v>283</v>
      </c>
      <c r="C123" s="2" t="str">
        <f>_xlfn.XLOOKUP($B123,Sheet1!$I:$I,Sheet1!AS:AS,0,0,1)</f>
        <v>2026-02-19 23:59:59</v>
      </c>
      <c r="D123" t="s">
        <v>117</v>
      </c>
      <c r="E123" s="2" t="str">
        <f>VLOOKUP(J123,Sheet1!C:H,5,0)</f>
        <v>已完成</v>
      </c>
      <c r="F123" s="2"/>
      <c r="G123" t="s">
        <v>15</v>
      </c>
      <c r="H123" t="s">
        <v>135</v>
      </c>
      <c r="I123" t="s">
        <v>135</v>
      </c>
      <c r="J123" t="s">
        <v>284</v>
      </c>
      <c r="L123" s="2" t="str">
        <f>_xlfn.XLOOKUP(B123,Sheet1!I:I,Sheet1!BB:BB,0,0,1)</f>
        <v>2026-02-24 16:45:57</v>
      </c>
    </row>
    <row r="124" spans="1:12" hidden="1" x14ac:dyDescent="0.15">
      <c r="A124" t="s">
        <v>115</v>
      </c>
      <c r="B124" t="s">
        <v>285</v>
      </c>
      <c r="C124" s="2" t="str">
        <f>_xlfn.XLOOKUP($B124,Sheet1!$I:$I,Sheet1!AS:AS,0,0,1)</f>
        <v>2026-02-19 23:59:59</v>
      </c>
      <c r="D124" t="s">
        <v>117</v>
      </c>
      <c r="E124" s="2" t="str">
        <f>VLOOKUP(J124,Sheet1!C:H,5,0)</f>
        <v>已完成</v>
      </c>
      <c r="F124" s="2"/>
      <c r="G124" t="s">
        <v>15</v>
      </c>
      <c r="H124" t="s">
        <v>135</v>
      </c>
      <c r="I124" t="s">
        <v>135</v>
      </c>
      <c r="J124" t="s">
        <v>286</v>
      </c>
      <c r="L124" s="2" t="str">
        <f>_xlfn.XLOOKUP(B124,Sheet1!I:I,Sheet1!BB:BB,0,0,1)</f>
        <v>2026-02-24 16:50:19</v>
      </c>
    </row>
    <row r="125" spans="1:12" hidden="1" x14ac:dyDescent="0.15">
      <c r="A125" t="s">
        <v>115</v>
      </c>
      <c r="B125" t="s">
        <v>287</v>
      </c>
      <c r="C125" s="2" t="str">
        <f>_xlfn.XLOOKUP($B125,Sheet1!$I:$I,Sheet1!AS:AS,0,0,1)</f>
        <v>2026-02-10 00:00:00</v>
      </c>
      <c r="D125" t="s">
        <v>117</v>
      </c>
      <c r="E125" s="2" t="str">
        <f>VLOOKUP(J125,Sheet1!C:H,5,0)</f>
        <v>已完成</v>
      </c>
      <c r="F125" s="2"/>
      <c r="G125" t="s">
        <v>19</v>
      </c>
      <c r="H125" t="s">
        <v>118</v>
      </c>
      <c r="I125" t="s">
        <v>119</v>
      </c>
      <c r="J125" t="s">
        <v>288</v>
      </c>
      <c r="L125" s="2" t="str">
        <f>_xlfn.XLOOKUP(B125,Sheet1!I:I,Sheet1!BB:BB,0,0,1)</f>
        <v>2026-02-16 07:41:00</v>
      </c>
    </row>
    <row r="126" spans="1:12" hidden="1" x14ac:dyDescent="0.15">
      <c r="A126" t="s">
        <v>115</v>
      </c>
      <c r="B126" t="s">
        <v>289</v>
      </c>
      <c r="C126" s="2" t="str">
        <f>_xlfn.XLOOKUP($B126,Sheet1!$I:$I,Sheet1!AS:AS,0,0,1)</f>
        <v>2026-02-09 00:00:00</v>
      </c>
      <c r="D126" t="s">
        <v>117</v>
      </c>
      <c r="E126" s="2" t="str">
        <f>VLOOKUP(J126,Sheet1!C:H,5,0)</f>
        <v>已完成</v>
      </c>
      <c r="F126" s="2"/>
      <c r="G126" t="s">
        <v>19</v>
      </c>
      <c r="H126" t="s">
        <v>118</v>
      </c>
      <c r="I126" t="s">
        <v>119</v>
      </c>
      <c r="J126" t="s">
        <v>290</v>
      </c>
      <c r="L126" s="2" t="str">
        <f>_xlfn.XLOOKUP(B126,Sheet1!I:I,Sheet1!BB:BB,0,0,1)</f>
        <v>2026-02-16 07:13:00</v>
      </c>
    </row>
    <row r="127" spans="1:12" hidden="1" x14ac:dyDescent="0.15">
      <c r="A127" t="s">
        <v>115</v>
      </c>
      <c r="B127" t="s">
        <v>291</v>
      </c>
      <c r="D127" t="s">
        <v>122</v>
      </c>
      <c r="E127" s="2" t="str">
        <f>VLOOKUP(J127,Sheet1!C:H,5,0)</f>
        <v>未清关</v>
      </c>
      <c r="F127" s="2"/>
      <c r="G127" t="s">
        <v>15</v>
      </c>
      <c r="H127" t="s">
        <v>20</v>
      </c>
      <c r="I127" t="s">
        <v>20</v>
      </c>
      <c r="J127" t="s">
        <v>292</v>
      </c>
    </row>
    <row r="128" spans="1:12" hidden="1" x14ac:dyDescent="0.15">
      <c r="A128" t="s">
        <v>115</v>
      </c>
      <c r="B128" t="s">
        <v>293</v>
      </c>
      <c r="D128" t="s">
        <v>122</v>
      </c>
      <c r="E128" s="2" t="str">
        <f>VLOOKUP(J128,Sheet1!C:H,5,0)</f>
        <v>已完成</v>
      </c>
      <c r="F128" s="2"/>
      <c r="G128" t="s">
        <v>19</v>
      </c>
      <c r="H128" t="s">
        <v>12</v>
      </c>
      <c r="I128" t="s">
        <v>12</v>
      </c>
      <c r="J128" t="s">
        <v>294</v>
      </c>
    </row>
    <row r="129" spans="1:12" hidden="1" x14ac:dyDescent="0.15">
      <c r="A129" t="s">
        <v>115</v>
      </c>
      <c r="B129" t="s">
        <v>295</v>
      </c>
      <c r="C129" s="2" t="str">
        <f>_xlfn.XLOOKUP($B129,Sheet1!$I:$I,Sheet1!AS:AS,0,0,1)</f>
        <v>2026-02-12 23:59:59</v>
      </c>
      <c r="D129" t="s">
        <v>117</v>
      </c>
      <c r="E129" s="2" t="str">
        <f>VLOOKUP(J129,Sheet1!C:H,5,0)</f>
        <v>已完成</v>
      </c>
      <c r="F129" s="2"/>
      <c r="G129" t="s">
        <v>15</v>
      </c>
      <c r="H129" t="s">
        <v>138</v>
      </c>
      <c r="I129" t="s">
        <v>139</v>
      </c>
      <c r="J129" t="s">
        <v>296</v>
      </c>
      <c r="L129" s="2" t="str">
        <f>_xlfn.XLOOKUP(B129,Sheet1!I:I,Sheet1!BB:BB,0,0,1)</f>
        <v>2026-02-17 07:27:00</v>
      </c>
    </row>
    <row r="130" spans="1:12" hidden="1" x14ac:dyDescent="0.15">
      <c r="A130" t="s">
        <v>115</v>
      </c>
      <c r="B130" t="s">
        <v>297</v>
      </c>
      <c r="D130" t="s">
        <v>122</v>
      </c>
      <c r="E130" s="2" t="str">
        <f>VLOOKUP(J130,Sheet1!C:H,5,0)</f>
        <v>已完成</v>
      </c>
      <c r="F130" s="2"/>
      <c r="G130" t="s">
        <v>15</v>
      </c>
      <c r="H130" t="s">
        <v>298</v>
      </c>
      <c r="I130" t="s">
        <v>299</v>
      </c>
      <c r="J130" t="s">
        <v>300</v>
      </c>
    </row>
    <row r="131" spans="1:12" hidden="1" x14ac:dyDescent="0.15">
      <c r="A131" t="s">
        <v>115</v>
      </c>
      <c r="B131" t="s">
        <v>301</v>
      </c>
      <c r="C131" s="2" t="str">
        <f>_xlfn.XLOOKUP($B131,Sheet1!$I:$I,Sheet1!AS:AS,0,0,1)</f>
        <v>2026-02-09 00:00:00</v>
      </c>
      <c r="D131" t="s">
        <v>117</v>
      </c>
      <c r="E131" s="2" t="str">
        <f>VLOOKUP(J131,Sheet1!C:H,5,0)</f>
        <v>已完成</v>
      </c>
      <c r="F131" s="2"/>
      <c r="G131" t="s">
        <v>19</v>
      </c>
      <c r="H131" t="s">
        <v>118</v>
      </c>
      <c r="I131" t="s">
        <v>119</v>
      </c>
      <c r="J131" t="s">
        <v>302</v>
      </c>
      <c r="L131" s="2" t="str">
        <f>_xlfn.XLOOKUP(B131,Sheet1!I:I,Sheet1!BB:BB,0,0,1)</f>
        <v>2026-02-16 07:10:00</v>
      </c>
    </row>
    <row r="132" spans="1:12" hidden="1" x14ac:dyDescent="0.15">
      <c r="A132" t="s">
        <v>115</v>
      </c>
      <c r="B132" t="s">
        <v>303</v>
      </c>
      <c r="D132" t="s">
        <v>122</v>
      </c>
      <c r="E132" s="2" t="str">
        <f>VLOOKUP(J132,Sheet1!C:H,5,0)</f>
        <v>未清关</v>
      </c>
      <c r="F132" s="2"/>
      <c r="G132" t="s">
        <v>11</v>
      </c>
      <c r="H132" t="s">
        <v>12</v>
      </c>
      <c r="I132" t="s">
        <v>12</v>
      </c>
      <c r="J132" t="s">
        <v>304</v>
      </c>
    </row>
    <row r="133" spans="1:12" hidden="1" x14ac:dyDescent="0.15">
      <c r="A133" t="s">
        <v>115</v>
      </c>
      <c r="B133" t="s">
        <v>305</v>
      </c>
      <c r="C133" s="2" t="str">
        <f>_xlfn.XLOOKUP($B133,Sheet1!$I:$I,Sheet1!AS:AS,0,0,1)</f>
        <v>2026-02-12 00:00:00</v>
      </c>
      <c r="D133" t="s">
        <v>117</v>
      </c>
      <c r="E133" s="2" t="str">
        <f>VLOOKUP(J133,Sheet1!C:H,5,0)</f>
        <v>已完成</v>
      </c>
      <c r="F133" s="2"/>
      <c r="G133" t="s">
        <v>19</v>
      </c>
      <c r="H133" t="s">
        <v>159</v>
      </c>
      <c r="I133" t="s">
        <v>160</v>
      </c>
      <c r="J133" t="s">
        <v>306</v>
      </c>
      <c r="L133" s="2" t="str">
        <f>_xlfn.XLOOKUP(B133,Sheet1!I:I,Sheet1!BB:BB,0,0,1)</f>
        <v>2026-02-19 12:30:00</v>
      </c>
    </row>
    <row r="134" spans="1:12" hidden="1" x14ac:dyDescent="0.15">
      <c r="A134" t="s">
        <v>115</v>
      </c>
      <c r="B134" t="s">
        <v>307</v>
      </c>
      <c r="C134" s="2" t="str">
        <f>_xlfn.XLOOKUP($B134,Sheet1!$I:$I,Sheet1!AS:AS,0,0,1)</f>
        <v>2026-02-10 00:00:00</v>
      </c>
      <c r="D134" t="s">
        <v>117</v>
      </c>
      <c r="E134" s="2" t="str">
        <f>VLOOKUP(J134,Sheet1!C:H,5,0)</f>
        <v>已完成</v>
      </c>
      <c r="F134" s="2"/>
      <c r="G134" t="s">
        <v>19</v>
      </c>
      <c r="H134" t="s">
        <v>118</v>
      </c>
      <c r="I134" t="s">
        <v>119</v>
      </c>
      <c r="J134" t="s">
        <v>308</v>
      </c>
      <c r="L134" s="2" t="str">
        <f>_xlfn.XLOOKUP(B134,Sheet1!I:I,Sheet1!BB:BB,0,0,1)</f>
        <v>2026-02-20 19:05:00</v>
      </c>
    </row>
    <row r="135" spans="1:12" hidden="1" x14ac:dyDescent="0.15">
      <c r="A135" t="s">
        <v>115</v>
      </c>
      <c r="B135" t="s">
        <v>309</v>
      </c>
      <c r="C135" s="2" t="str">
        <f>_xlfn.XLOOKUP($B135,Sheet1!$I:$I,Sheet1!AS:AS,0,0,1)</f>
        <v>2026-02-10 16:40:43</v>
      </c>
      <c r="D135" t="s">
        <v>117</v>
      </c>
      <c r="E135" s="2" t="str">
        <f>VLOOKUP(J135,Sheet1!C:H,5,0)</f>
        <v>已完成</v>
      </c>
      <c r="F135" s="2"/>
      <c r="G135" t="s">
        <v>15</v>
      </c>
      <c r="H135" t="s">
        <v>138</v>
      </c>
      <c r="I135" t="s">
        <v>139</v>
      </c>
      <c r="J135" t="s">
        <v>310</v>
      </c>
      <c r="L135" s="2" t="str">
        <f>_xlfn.XLOOKUP(B135,Sheet1!I:I,Sheet1!BB:BB,0,0,1)</f>
        <v>2026-02-16 08:51:00</v>
      </c>
    </row>
    <row r="136" spans="1:12" hidden="1" x14ac:dyDescent="0.15">
      <c r="A136" t="s">
        <v>115</v>
      </c>
      <c r="B136" t="s">
        <v>311</v>
      </c>
      <c r="C136" s="2" t="str">
        <f>_xlfn.XLOOKUP($B136,Sheet1!$I:$I,Sheet1!AS:AS,0,0,1)</f>
        <v>2026-02-12 00:00:00</v>
      </c>
      <c r="D136" t="s">
        <v>117</v>
      </c>
      <c r="E136" s="2" t="str">
        <f>VLOOKUP(J136,Sheet1!C:H,5,0)</f>
        <v>未清关</v>
      </c>
      <c r="F136" s="2"/>
      <c r="G136" t="s">
        <v>19</v>
      </c>
      <c r="H136" t="s">
        <v>159</v>
      </c>
      <c r="I136" t="s">
        <v>160</v>
      </c>
      <c r="J136" t="s">
        <v>312</v>
      </c>
      <c r="L136" s="2" t="str">
        <f>_xlfn.XLOOKUP(B136,Sheet1!I:I,Sheet1!BB:BB,0,0,1)</f>
        <v>2026-02-21 06:14:00</v>
      </c>
    </row>
    <row r="137" spans="1:12" hidden="1" x14ac:dyDescent="0.15">
      <c r="A137" t="s">
        <v>115</v>
      </c>
      <c r="B137" t="s">
        <v>313</v>
      </c>
      <c r="C137" s="2" t="str">
        <f>_xlfn.XLOOKUP($B137,Sheet1!$I:$I,Sheet1!AS:AS,0,0,1)</f>
        <v>2026-02-09 00:00:00</v>
      </c>
      <c r="D137" t="s">
        <v>117</v>
      </c>
      <c r="E137" s="2" t="str">
        <f>VLOOKUP(J137,Sheet1!C:H,5,0)</f>
        <v>已完成</v>
      </c>
      <c r="F137" s="2"/>
      <c r="G137" t="s">
        <v>19</v>
      </c>
      <c r="H137" t="s">
        <v>118</v>
      </c>
      <c r="I137" t="s">
        <v>119</v>
      </c>
      <c r="J137" t="s">
        <v>314</v>
      </c>
      <c r="L137" s="2" t="str">
        <f>_xlfn.XLOOKUP(B137,Sheet1!I:I,Sheet1!BB:BB,0,0,1)</f>
        <v>2026-02-13 11:44:00</v>
      </c>
    </row>
    <row r="138" spans="1:12" hidden="1" x14ac:dyDescent="0.15">
      <c r="A138" t="s">
        <v>115</v>
      </c>
      <c r="B138" t="s">
        <v>315</v>
      </c>
      <c r="D138" t="s">
        <v>122</v>
      </c>
      <c r="E138" s="2" t="str">
        <f>VLOOKUP(J138,Sheet1!C:H,5,0)</f>
        <v>已完成</v>
      </c>
      <c r="F138" s="2"/>
      <c r="G138" t="s">
        <v>19</v>
      </c>
      <c r="H138" t="s">
        <v>12</v>
      </c>
      <c r="I138" t="s">
        <v>12</v>
      </c>
      <c r="J138" t="s">
        <v>316</v>
      </c>
    </row>
    <row r="139" spans="1:12" hidden="1" x14ac:dyDescent="0.15">
      <c r="A139" t="s">
        <v>115</v>
      </c>
      <c r="B139" t="s">
        <v>317</v>
      </c>
      <c r="C139" s="2" t="str">
        <f>_xlfn.XLOOKUP($B139,Sheet1!$I:$I,Sheet1!AS:AS,0,0,1)</f>
        <v>2026-01-26 00:00:00</v>
      </c>
      <c r="D139" t="s">
        <v>117</v>
      </c>
      <c r="E139" s="2" t="str">
        <f>VLOOKUP(J139,Sheet1!C:H,5,0)</f>
        <v>已完成</v>
      </c>
      <c r="F139" s="2"/>
      <c r="G139" t="s">
        <v>19</v>
      </c>
      <c r="H139" t="s">
        <v>264</v>
      </c>
      <c r="I139" t="s">
        <v>265</v>
      </c>
      <c r="J139" t="s">
        <v>318</v>
      </c>
      <c r="L139" s="2" t="str">
        <f>_xlfn.XLOOKUP(B139,Sheet1!I:I,Sheet1!BB:BB,0,0,1)</f>
        <v>2026-01-27 13:44:00</v>
      </c>
    </row>
    <row r="140" spans="1:12" hidden="1" x14ac:dyDescent="0.15">
      <c r="A140" t="s">
        <v>115</v>
      </c>
      <c r="B140" t="s">
        <v>319</v>
      </c>
      <c r="C140" s="2" t="str">
        <f>_xlfn.XLOOKUP($B140,Sheet1!$I:$I,Sheet1!AS:AS,0,0,1)</f>
        <v>2026-02-24 00:00:00</v>
      </c>
      <c r="D140" t="s">
        <v>117</v>
      </c>
      <c r="E140" s="2" t="str">
        <f>VLOOKUP(J140,Sheet1!C:H,5,0)</f>
        <v>未清关</v>
      </c>
      <c r="F140" s="2"/>
      <c r="G140" t="s">
        <v>19</v>
      </c>
      <c r="H140" t="s">
        <v>12</v>
      </c>
      <c r="I140" t="s">
        <v>12</v>
      </c>
      <c r="J140" t="s">
        <v>320</v>
      </c>
      <c r="L140" s="2" t="str">
        <f>_xlfn.XLOOKUP(B140,Sheet1!I:I,Sheet1!BB:BB,0,0,1)</f>
        <v>2026-02-26 12:31:00</v>
      </c>
    </row>
    <row r="141" spans="1:12" hidden="1" x14ac:dyDescent="0.15">
      <c r="A141" t="s">
        <v>115</v>
      </c>
      <c r="B141" t="s">
        <v>321</v>
      </c>
      <c r="C141" s="2" t="str">
        <f>_xlfn.XLOOKUP($B141,Sheet1!$I:$I,Sheet1!AS:AS,0,0,1)</f>
        <v>2026-02-12 00:00:00</v>
      </c>
      <c r="D141" t="s">
        <v>117</v>
      </c>
      <c r="E141" s="2" t="str">
        <f>VLOOKUP(J141,Sheet1!C:H,5,0)</f>
        <v>未清关</v>
      </c>
      <c r="F141" s="2"/>
      <c r="G141" t="s">
        <v>19</v>
      </c>
      <c r="H141" t="s">
        <v>159</v>
      </c>
      <c r="I141" t="s">
        <v>160</v>
      </c>
      <c r="J141" t="s">
        <v>322</v>
      </c>
      <c r="L141" s="2" t="str">
        <f>_xlfn.XLOOKUP(B141,Sheet1!I:I,Sheet1!BB:BB,0,0,1)</f>
        <v>2026-02-21 12:31:00</v>
      </c>
    </row>
    <row r="142" spans="1:12" hidden="1" x14ac:dyDescent="0.15">
      <c r="A142" t="s">
        <v>115</v>
      </c>
      <c r="B142" t="s">
        <v>323</v>
      </c>
      <c r="C142" s="2" t="str">
        <f>_xlfn.XLOOKUP($B142,Sheet1!$I:$I,Sheet1!AS:AS,0,0,1)</f>
        <v>2026-02-10 09:14:00</v>
      </c>
      <c r="D142" t="s">
        <v>117</v>
      </c>
      <c r="E142" s="2" t="str">
        <f>VLOOKUP(J142,Sheet1!C:H,5,0)</f>
        <v>已完成</v>
      </c>
      <c r="F142" s="2"/>
      <c r="G142" t="s">
        <v>15</v>
      </c>
      <c r="H142" t="s">
        <v>138</v>
      </c>
      <c r="I142" t="s">
        <v>139</v>
      </c>
      <c r="J142" t="s">
        <v>324</v>
      </c>
      <c r="L142" s="2" t="str">
        <f>_xlfn.XLOOKUP(B142,Sheet1!I:I,Sheet1!BB:BB,0,0,1)</f>
        <v>2026-02-16 15:08:00</v>
      </c>
    </row>
    <row r="143" spans="1:12" hidden="1" x14ac:dyDescent="0.15">
      <c r="A143" t="s">
        <v>115</v>
      </c>
      <c r="B143" t="s">
        <v>325</v>
      </c>
      <c r="D143" t="s">
        <v>122</v>
      </c>
      <c r="E143" s="2" t="str">
        <f>VLOOKUP(J143,Sheet1!C:H,5,0)</f>
        <v>已完成</v>
      </c>
      <c r="F143" s="2"/>
      <c r="G143" t="s">
        <v>36</v>
      </c>
      <c r="H143" t="s">
        <v>160</v>
      </c>
      <c r="I143" t="s">
        <v>326</v>
      </c>
      <c r="J143" t="s">
        <v>327</v>
      </c>
    </row>
    <row r="144" spans="1:12" hidden="1" x14ac:dyDescent="0.15">
      <c r="A144" t="s">
        <v>115</v>
      </c>
      <c r="B144" t="s">
        <v>328</v>
      </c>
      <c r="C144" s="2" t="str">
        <f>_xlfn.XLOOKUP($B144,Sheet1!$I:$I,Sheet1!AS:AS,0,0,1)</f>
        <v>2026-01-27 00:00:00</v>
      </c>
      <c r="D144" t="s">
        <v>117</v>
      </c>
      <c r="E144" s="2" t="str">
        <f>VLOOKUP(J144,Sheet1!C:H,5,0)</f>
        <v>已完成</v>
      </c>
      <c r="F144" s="2"/>
      <c r="G144" t="s">
        <v>36</v>
      </c>
      <c r="H144" t="s">
        <v>132</v>
      </c>
      <c r="I144" t="s">
        <v>132</v>
      </c>
      <c r="J144" t="s">
        <v>329</v>
      </c>
      <c r="L144" s="2" t="str">
        <f>_xlfn.XLOOKUP(B144,Sheet1!I:I,Sheet1!BB:BB,0,0,1)</f>
        <v>2026-02-06 00:00:00</v>
      </c>
    </row>
    <row r="145" spans="1:12" hidden="1" x14ac:dyDescent="0.15">
      <c r="A145" t="s">
        <v>115</v>
      </c>
      <c r="B145" t="s">
        <v>330</v>
      </c>
      <c r="D145" t="s">
        <v>122</v>
      </c>
      <c r="E145" s="2" t="str">
        <f>VLOOKUP(J145,Sheet1!C:H,5,0)</f>
        <v>未清关</v>
      </c>
      <c r="F145" s="2"/>
      <c r="G145" t="s">
        <v>15</v>
      </c>
      <c r="H145" t="s">
        <v>80</v>
      </c>
      <c r="I145" t="s">
        <v>80</v>
      </c>
      <c r="J145" t="s">
        <v>331</v>
      </c>
    </row>
    <row r="146" spans="1:12" hidden="1" x14ac:dyDescent="0.15">
      <c r="A146" t="s">
        <v>115</v>
      </c>
      <c r="B146" t="s">
        <v>332</v>
      </c>
      <c r="D146" t="s">
        <v>122</v>
      </c>
      <c r="E146" s="2" t="str">
        <f>VLOOKUP(J146,Sheet1!C:H,5,0)</f>
        <v>未清关</v>
      </c>
      <c r="F146" s="2"/>
      <c r="G146" t="s">
        <v>15</v>
      </c>
      <c r="H146" t="s">
        <v>80</v>
      </c>
      <c r="I146" t="s">
        <v>80</v>
      </c>
      <c r="J146" t="s">
        <v>333</v>
      </c>
    </row>
    <row r="147" spans="1:12" hidden="1" x14ac:dyDescent="0.15">
      <c r="A147" t="s">
        <v>115</v>
      </c>
      <c r="B147" t="s">
        <v>334</v>
      </c>
      <c r="C147" s="2" t="str">
        <f>_xlfn.XLOOKUP($B147,Sheet1!$I:$I,Sheet1!AS:AS,0,0,1)</f>
        <v>2026-02-09 00:00:00</v>
      </c>
      <c r="D147" t="s">
        <v>117</v>
      </c>
      <c r="E147" s="2" t="str">
        <f>VLOOKUP(J147,Sheet1!C:H,5,0)</f>
        <v>已完成</v>
      </c>
      <c r="F147" s="2"/>
      <c r="G147" t="s">
        <v>19</v>
      </c>
      <c r="H147" t="s">
        <v>148</v>
      </c>
      <c r="I147" t="s">
        <v>148</v>
      </c>
      <c r="J147" t="s">
        <v>335</v>
      </c>
      <c r="L147" s="2" t="str">
        <f>_xlfn.XLOOKUP(B147,Sheet1!I:I,Sheet1!BB:BB,0,0,1)</f>
        <v>2026-02-17 00:00:00</v>
      </c>
    </row>
    <row r="148" spans="1:12" hidden="1" x14ac:dyDescent="0.15">
      <c r="A148" t="s">
        <v>115</v>
      </c>
      <c r="B148" t="s">
        <v>336</v>
      </c>
      <c r="D148" t="s">
        <v>122</v>
      </c>
      <c r="E148" s="2" t="str">
        <f>VLOOKUP(J148,Sheet1!C:H,5,0)</f>
        <v>未清关</v>
      </c>
      <c r="F148" s="2"/>
      <c r="G148" t="s">
        <v>36</v>
      </c>
      <c r="H148" t="s">
        <v>299</v>
      </c>
      <c r="I148" t="s">
        <v>298</v>
      </c>
      <c r="J148" t="s">
        <v>337</v>
      </c>
    </row>
    <row r="149" spans="1:12" hidden="1" x14ac:dyDescent="0.15">
      <c r="A149" t="s">
        <v>115</v>
      </c>
      <c r="B149" t="s">
        <v>338</v>
      </c>
      <c r="C149" s="2" t="str">
        <f>_xlfn.XLOOKUP($B149,Sheet1!$I:$I,Sheet1!AS:AS,0,0,1)</f>
        <v>2026-02-09 00:00:00</v>
      </c>
      <c r="D149" t="s">
        <v>117</v>
      </c>
      <c r="E149" s="2" t="str">
        <f>VLOOKUP(J149,Sheet1!C:H,5,0)</f>
        <v>已完成</v>
      </c>
      <c r="F149" s="2"/>
      <c r="G149" t="s">
        <v>19</v>
      </c>
      <c r="H149" t="s">
        <v>148</v>
      </c>
      <c r="I149" t="s">
        <v>148</v>
      </c>
      <c r="J149" t="s">
        <v>339</v>
      </c>
      <c r="L149" s="2" t="str">
        <f>_xlfn.XLOOKUP(B149,Sheet1!I:I,Sheet1!BB:BB,0,0,1)</f>
        <v>2026-02-18 00:00:00</v>
      </c>
    </row>
    <row r="150" spans="1:12" hidden="1" x14ac:dyDescent="0.15">
      <c r="A150" t="s">
        <v>115</v>
      </c>
      <c r="B150" t="s">
        <v>340</v>
      </c>
      <c r="C150" s="2" t="str">
        <f>_xlfn.XLOOKUP($B150,Sheet1!$I:$I,Sheet1!AS:AS,0,0,1)</f>
        <v>2026-02-04 00:00:00</v>
      </c>
      <c r="D150" t="s">
        <v>117</v>
      </c>
      <c r="E150" s="2" t="str">
        <f>VLOOKUP(J150,Sheet1!C:H,5,0)</f>
        <v>已完成</v>
      </c>
      <c r="F150" s="2"/>
      <c r="G150" t="s">
        <v>36</v>
      </c>
      <c r="H150" t="s">
        <v>341</v>
      </c>
      <c r="I150" t="s">
        <v>119</v>
      </c>
      <c r="J150" t="s">
        <v>342</v>
      </c>
      <c r="L150" s="2" t="str">
        <f>_xlfn.XLOOKUP(B150,Sheet1!I:I,Sheet1!BB:BB,0,0,1)</f>
        <v>2026-02-11 00:00:00</v>
      </c>
    </row>
    <row r="151" spans="1:12" hidden="1" x14ac:dyDescent="0.15">
      <c r="A151" t="s">
        <v>115</v>
      </c>
      <c r="B151" t="s">
        <v>343</v>
      </c>
      <c r="C151" s="2" t="str">
        <f>_xlfn.XLOOKUP($B151,Sheet1!$I:$I,Sheet1!AS:AS,0,0,1)</f>
        <v>2026-02-19 00:00:00</v>
      </c>
      <c r="D151" t="s">
        <v>117</v>
      </c>
      <c r="E151" s="2" t="str">
        <f>VLOOKUP(J151,Sheet1!C:H,5,0)</f>
        <v>已完成</v>
      </c>
      <c r="F151" s="2"/>
      <c r="G151" t="s">
        <v>125</v>
      </c>
      <c r="H151" t="s">
        <v>129</v>
      </c>
      <c r="I151" t="s">
        <v>80</v>
      </c>
      <c r="J151" t="s">
        <v>344</v>
      </c>
      <c r="L151" s="2" t="str">
        <f>_xlfn.XLOOKUP(B151,Sheet1!I:I,Sheet1!BB:BB,0,0,1)</f>
        <v>2026-02-26 00:00:00</v>
      </c>
    </row>
    <row r="152" spans="1:12" hidden="1" x14ac:dyDescent="0.15">
      <c r="A152" t="s">
        <v>115</v>
      </c>
      <c r="B152" t="s">
        <v>345</v>
      </c>
      <c r="C152" s="2" t="str">
        <f>_xlfn.XLOOKUP($B152,Sheet1!$I:$I,Sheet1!AS:AS,0,0,1)</f>
        <v>2026-01-27 00:00:00</v>
      </c>
      <c r="D152" t="s">
        <v>117</v>
      </c>
      <c r="E152" s="2" t="str">
        <f>VLOOKUP(J152,Sheet1!C:H,5,0)</f>
        <v>已完成</v>
      </c>
      <c r="F152" s="2"/>
      <c r="G152" t="s">
        <v>19</v>
      </c>
      <c r="H152" t="s">
        <v>264</v>
      </c>
      <c r="I152" t="s">
        <v>265</v>
      </c>
      <c r="J152" t="s">
        <v>346</v>
      </c>
      <c r="L152" s="2" t="str">
        <f>_xlfn.XLOOKUP(B152,Sheet1!I:I,Sheet1!BB:BB,0,0,1)</f>
        <v>2026-02-02 13:11:00</v>
      </c>
    </row>
    <row r="153" spans="1:12" hidden="1" x14ac:dyDescent="0.15">
      <c r="A153" t="s">
        <v>115</v>
      </c>
      <c r="B153" t="s">
        <v>347</v>
      </c>
      <c r="C153" s="2" t="str">
        <f>_xlfn.XLOOKUP($B153,Sheet1!$I:$I,Sheet1!AS:AS,0,0,1)</f>
        <v>2026-02-12 00:00:00</v>
      </c>
      <c r="D153" t="s">
        <v>117</v>
      </c>
      <c r="E153" s="2" t="str">
        <f>VLOOKUP(J153,Sheet1!C:H,5,0)</f>
        <v>已完成</v>
      </c>
      <c r="F153" s="2"/>
      <c r="G153" t="s">
        <v>19</v>
      </c>
      <c r="H153" t="s">
        <v>159</v>
      </c>
      <c r="I153" t="s">
        <v>160</v>
      </c>
      <c r="J153" t="s">
        <v>348</v>
      </c>
      <c r="L153" s="2" t="str">
        <f>_xlfn.XLOOKUP(B153,Sheet1!I:I,Sheet1!BB:BB,0,0,1)</f>
        <v>2026-02-18 13:53:00</v>
      </c>
    </row>
    <row r="154" spans="1:12" hidden="1" x14ac:dyDescent="0.15">
      <c r="A154" t="s">
        <v>115</v>
      </c>
      <c r="B154" t="s">
        <v>349</v>
      </c>
      <c r="C154" s="2" t="str">
        <f>_xlfn.XLOOKUP($B154,Sheet1!$I:$I,Sheet1!AS:AS,0,0,1)</f>
        <v>2026-02-24 00:00:00</v>
      </c>
      <c r="D154" t="s">
        <v>117</v>
      </c>
      <c r="E154" s="2" t="str">
        <f>VLOOKUP(J154,Sheet1!C:H,5,0)</f>
        <v>未清关</v>
      </c>
      <c r="F154" s="2"/>
      <c r="G154" t="s">
        <v>19</v>
      </c>
      <c r="H154" t="s">
        <v>20</v>
      </c>
      <c r="I154" t="s">
        <v>20</v>
      </c>
      <c r="J154" t="s">
        <v>350</v>
      </c>
      <c r="L154" s="2" t="str">
        <f>_xlfn.XLOOKUP(B154,Sheet1!I:I,Sheet1!BB:BB,0,0,1)</f>
        <v>2026-02-26 07:39:00</v>
      </c>
    </row>
    <row r="155" spans="1:12" hidden="1" x14ac:dyDescent="0.15">
      <c r="A155" t="s">
        <v>115</v>
      </c>
      <c r="B155" t="s">
        <v>351</v>
      </c>
      <c r="C155" s="2" t="str">
        <f>_xlfn.XLOOKUP($B155,Sheet1!$I:$I,Sheet1!AS:AS,0,0,1)</f>
        <v>2026-02-09 14:25:00</v>
      </c>
      <c r="D155" t="s">
        <v>117</v>
      </c>
      <c r="E155" s="2" t="str">
        <f>VLOOKUP(J155,Sheet1!C:H,5,0)</f>
        <v>已完成</v>
      </c>
      <c r="F155" s="2"/>
      <c r="G155" t="s">
        <v>15</v>
      </c>
      <c r="H155" t="s">
        <v>138</v>
      </c>
      <c r="I155" t="s">
        <v>139</v>
      </c>
      <c r="J155" t="s">
        <v>352</v>
      </c>
      <c r="L155" s="2" t="str">
        <f>_xlfn.XLOOKUP(B155,Sheet1!I:I,Sheet1!BB:BB,0,0,1)</f>
        <v>2026-02-13 06:39:00</v>
      </c>
    </row>
    <row r="156" spans="1:12" hidden="1" x14ac:dyDescent="0.15">
      <c r="A156" t="s">
        <v>115</v>
      </c>
      <c r="B156" t="s">
        <v>353</v>
      </c>
      <c r="C156" s="2" t="str">
        <f>_xlfn.XLOOKUP($B156,Sheet1!$I:$I,Sheet1!AS:AS,0,0,1)</f>
        <v>2026-02-13 23:59:59</v>
      </c>
      <c r="D156" t="s">
        <v>117</v>
      </c>
      <c r="E156" s="2" t="str">
        <f>VLOOKUP(J156,Sheet1!C:H,5,0)</f>
        <v>已完成</v>
      </c>
      <c r="F156" s="2"/>
      <c r="G156" t="s">
        <v>15</v>
      </c>
      <c r="H156" t="s">
        <v>138</v>
      </c>
      <c r="I156" t="s">
        <v>139</v>
      </c>
      <c r="J156" t="s">
        <v>354</v>
      </c>
      <c r="L156" s="2" t="str">
        <f>_xlfn.XLOOKUP(B156,Sheet1!I:I,Sheet1!BB:BB,0,0,1)</f>
        <v>2026-02-18 05:52:00</v>
      </c>
    </row>
    <row r="157" spans="1:12" hidden="1" x14ac:dyDescent="0.15">
      <c r="A157" t="s">
        <v>115</v>
      </c>
      <c r="B157" t="s">
        <v>355</v>
      </c>
      <c r="C157" s="2" t="str">
        <f>_xlfn.XLOOKUP($B157,Sheet1!$I:$I,Sheet1!AS:AS,0,0,1)</f>
        <v>2026-02-24 00:00:00</v>
      </c>
      <c r="D157" t="s">
        <v>117</v>
      </c>
      <c r="E157" s="2" t="str">
        <f>VLOOKUP(J157,Sheet1!C:H,5,0)</f>
        <v>未清关</v>
      </c>
      <c r="F157" s="2"/>
      <c r="G157" t="s">
        <v>19</v>
      </c>
      <c r="H157" t="s">
        <v>20</v>
      </c>
      <c r="I157" t="s">
        <v>20</v>
      </c>
      <c r="J157" t="s">
        <v>356</v>
      </c>
      <c r="L157" s="2" t="str">
        <f>_xlfn.XLOOKUP(B157,Sheet1!I:I,Sheet1!BB:BB,0,0,1)</f>
        <v>2026-02-26 12:48:00</v>
      </c>
    </row>
    <row r="158" spans="1:12" hidden="1" x14ac:dyDescent="0.15">
      <c r="A158" t="s">
        <v>115</v>
      </c>
      <c r="B158" t="s">
        <v>357</v>
      </c>
      <c r="C158" s="2" t="str">
        <f>_xlfn.XLOOKUP($B158,Sheet1!$I:$I,Sheet1!AS:AS,0,0,1)</f>
        <v>2026-02-10 16:39:35</v>
      </c>
      <c r="D158" t="s">
        <v>117</v>
      </c>
      <c r="E158" s="2" t="str">
        <f>VLOOKUP(J158,Sheet1!C:H,5,0)</f>
        <v>已完成</v>
      </c>
      <c r="F158" s="2"/>
      <c r="G158" t="s">
        <v>15</v>
      </c>
      <c r="H158" t="s">
        <v>138</v>
      </c>
      <c r="I158" t="s">
        <v>139</v>
      </c>
      <c r="J158" t="s">
        <v>358</v>
      </c>
      <c r="L158" s="2" t="str">
        <f>_xlfn.XLOOKUP(B158,Sheet1!I:I,Sheet1!BB:BB,0,0,1)</f>
        <v>2026-02-13 08:52:00</v>
      </c>
    </row>
    <row r="159" spans="1:12" hidden="1" x14ac:dyDescent="0.15">
      <c r="A159" t="s">
        <v>115</v>
      </c>
      <c r="B159" t="s">
        <v>359</v>
      </c>
      <c r="C159" s="2" t="str">
        <f>_xlfn.XLOOKUP($B159,Sheet1!$I:$I,Sheet1!AS:AS,0,0,1)</f>
        <v>2026-02-07 11:00:00</v>
      </c>
      <c r="D159" t="s">
        <v>117</v>
      </c>
      <c r="E159" s="2" t="str">
        <f>VLOOKUP(J159,Sheet1!C:H,5,0)</f>
        <v>已完成</v>
      </c>
      <c r="F159" s="2"/>
      <c r="G159" t="s">
        <v>15</v>
      </c>
      <c r="H159" t="s">
        <v>138</v>
      </c>
      <c r="I159" t="s">
        <v>139</v>
      </c>
      <c r="J159" t="s">
        <v>360</v>
      </c>
      <c r="L159" s="2" t="str">
        <f>_xlfn.XLOOKUP(B159,Sheet1!I:I,Sheet1!BB:BB,0,0,1)</f>
        <v>2026-02-12 05:42:00</v>
      </c>
    </row>
    <row r="160" spans="1:12" hidden="1" x14ac:dyDescent="0.15">
      <c r="A160" t="s">
        <v>115</v>
      </c>
      <c r="B160" t="s">
        <v>361</v>
      </c>
      <c r="C160" s="2" t="str">
        <f>_xlfn.XLOOKUP($B160,Sheet1!$I:$I,Sheet1!AS:AS,0,0,1)</f>
        <v>2026-02-12 00:00:00</v>
      </c>
      <c r="D160" t="s">
        <v>117</v>
      </c>
      <c r="E160" s="2" t="str">
        <f>VLOOKUP(J160,Sheet1!C:H,5,0)</f>
        <v>未清关</v>
      </c>
      <c r="F160" s="2"/>
      <c r="G160" t="s">
        <v>19</v>
      </c>
      <c r="H160" t="s">
        <v>159</v>
      </c>
      <c r="I160" t="s">
        <v>160</v>
      </c>
      <c r="J160" t="s">
        <v>362</v>
      </c>
      <c r="L160" s="2" t="str">
        <f>_xlfn.XLOOKUP(B160,Sheet1!I:I,Sheet1!BB:BB,0,0,1)</f>
        <v>2026-02-20 07:43:00</v>
      </c>
    </row>
    <row r="161" spans="1:12" hidden="1" x14ac:dyDescent="0.15">
      <c r="A161" t="s">
        <v>115</v>
      </c>
      <c r="B161" t="s">
        <v>363</v>
      </c>
      <c r="D161" t="s">
        <v>122</v>
      </c>
      <c r="E161" s="2" t="str">
        <f>VLOOKUP(J161,Sheet1!C:H,5,0)</f>
        <v>未清关</v>
      </c>
      <c r="F161" s="2"/>
      <c r="G161" t="s">
        <v>36</v>
      </c>
      <c r="H161" t="s">
        <v>37</v>
      </c>
      <c r="I161" t="s">
        <v>37</v>
      </c>
      <c r="J161" t="s">
        <v>364</v>
      </c>
    </row>
    <row r="162" spans="1:12" hidden="1" x14ac:dyDescent="0.15">
      <c r="A162" t="s">
        <v>115</v>
      </c>
      <c r="B162" t="s">
        <v>365</v>
      </c>
      <c r="C162" s="2" t="str">
        <f>_xlfn.XLOOKUP($B162,Sheet1!$I:$I,Sheet1!AS:AS,0,0,1)</f>
        <v>2026-02-15 21:10:35</v>
      </c>
      <c r="D162" t="s">
        <v>117</v>
      </c>
      <c r="E162" s="2" t="str">
        <f>VLOOKUP(J162,Sheet1!C:H,5,0)</f>
        <v>已完成</v>
      </c>
      <c r="F162" s="2"/>
      <c r="G162" t="s">
        <v>125</v>
      </c>
      <c r="H162" t="s">
        <v>159</v>
      </c>
      <c r="I162" t="s">
        <v>126</v>
      </c>
      <c r="J162" t="s">
        <v>366</v>
      </c>
      <c r="L162" s="2" t="str">
        <f>_xlfn.XLOOKUP(B162,Sheet1!I:I,Sheet1!BB:BB,0,0,1)</f>
        <v>2026-02-19 00:00:00</v>
      </c>
    </row>
    <row r="163" spans="1:12" hidden="1" x14ac:dyDescent="0.15">
      <c r="A163" t="s">
        <v>115</v>
      </c>
      <c r="B163" t="s">
        <v>367</v>
      </c>
      <c r="D163" t="s">
        <v>122</v>
      </c>
      <c r="E163" s="2" t="str">
        <f>VLOOKUP(J163,Sheet1!C:H,5,0)</f>
        <v>未清关</v>
      </c>
      <c r="F163" s="2"/>
      <c r="G163" t="s">
        <v>36</v>
      </c>
      <c r="H163" t="s">
        <v>37</v>
      </c>
      <c r="I163" t="s">
        <v>37</v>
      </c>
      <c r="J163" t="s">
        <v>368</v>
      </c>
    </row>
    <row r="164" spans="1:12" hidden="1" x14ac:dyDescent="0.15">
      <c r="A164" t="s">
        <v>115</v>
      </c>
      <c r="B164" t="s">
        <v>369</v>
      </c>
      <c r="C164" s="2" t="str">
        <f>_xlfn.XLOOKUP($B164,Sheet1!$I:$I,Sheet1!AS:AS,0,0,1)</f>
        <v>2026-02-19 00:00:00</v>
      </c>
      <c r="D164" t="s">
        <v>117</v>
      </c>
      <c r="E164" s="2" t="str">
        <f>VLOOKUP(J164,Sheet1!C:H,5,0)</f>
        <v>已完成</v>
      </c>
      <c r="F164" s="2"/>
      <c r="G164" t="s">
        <v>125</v>
      </c>
      <c r="H164" t="s">
        <v>129</v>
      </c>
      <c r="I164" t="s">
        <v>80</v>
      </c>
      <c r="J164" t="s">
        <v>370</v>
      </c>
      <c r="L164" s="2" t="str">
        <f>_xlfn.XLOOKUP(B164,Sheet1!I:I,Sheet1!BB:BB,0,0,1)</f>
        <v>2026-02-26 00:00:00</v>
      </c>
    </row>
    <row r="165" spans="1:12" hidden="1" x14ac:dyDescent="0.15">
      <c r="A165" t="s">
        <v>115</v>
      </c>
      <c r="B165" t="s">
        <v>371</v>
      </c>
      <c r="D165" t="s">
        <v>122</v>
      </c>
      <c r="E165" s="2" t="str">
        <f>VLOOKUP(J165,Sheet1!C:H,5,0)</f>
        <v>已完成</v>
      </c>
      <c r="F165" s="2"/>
      <c r="G165" t="s">
        <v>125</v>
      </c>
      <c r="H165" t="s">
        <v>129</v>
      </c>
      <c r="I165" t="s">
        <v>80</v>
      </c>
      <c r="J165" t="s">
        <v>372</v>
      </c>
    </row>
    <row r="166" spans="1:12" hidden="1" x14ac:dyDescent="0.15">
      <c r="A166" t="s">
        <v>115</v>
      </c>
      <c r="B166" t="s">
        <v>373</v>
      </c>
      <c r="C166" s="2" t="str">
        <f>_xlfn.XLOOKUP($B166,Sheet1!$I:$I,Sheet1!AS:AS,0,0,1)</f>
        <v>2026-01-26 00:00:00</v>
      </c>
      <c r="D166" t="s">
        <v>117</v>
      </c>
      <c r="E166" s="2" t="str">
        <f>VLOOKUP(J166,Sheet1!C:H,5,0)</f>
        <v>已完成</v>
      </c>
      <c r="F166" s="2"/>
      <c r="G166" t="s">
        <v>36</v>
      </c>
      <c r="H166" t="s">
        <v>132</v>
      </c>
      <c r="I166" t="s">
        <v>132</v>
      </c>
      <c r="J166" t="s">
        <v>374</v>
      </c>
      <c r="L166" s="2" t="str">
        <f>_xlfn.XLOOKUP(B166,Sheet1!I:I,Sheet1!BB:BB,0,0,1)</f>
        <v>2026-02-05 00:00:00</v>
      </c>
    </row>
    <row r="167" spans="1:12" hidden="1" x14ac:dyDescent="0.15">
      <c r="A167" t="s">
        <v>115</v>
      </c>
      <c r="B167" t="s">
        <v>375</v>
      </c>
      <c r="D167" t="s">
        <v>122</v>
      </c>
      <c r="E167" s="2" t="str">
        <f>VLOOKUP(J167,Sheet1!C:H,5,0)</f>
        <v>未清关</v>
      </c>
      <c r="F167" s="2"/>
      <c r="G167" t="s">
        <v>36</v>
      </c>
      <c r="H167" t="s">
        <v>37</v>
      </c>
      <c r="I167" t="s">
        <v>37</v>
      </c>
      <c r="J167" t="s">
        <v>376</v>
      </c>
    </row>
    <row r="168" spans="1:12" hidden="1" x14ac:dyDescent="0.15">
      <c r="A168" t="s">
        <v>115</v>
      </c>
      <c r="B168" t="s">
        <v>377</v>
      </c>
      <c r="D168" t="s">
        <v>122</v>
      </c>
      <c r="E168" s="2" t="str">
        <f>VLOOKUP(J168,Sheet1!C:H,5,0)</f>
        <v>已完成</v>
      </c>
      <c r="F168" s="2"/>
      <c r="G168" t="s">
        <v>125</v>
      </c>
      <c r="H168" t="s">
        <v>129</v>
      </c>
      <c r="I168" t="s">
        <v>80</v>
      </c>
      <c r="J168" t="s">
        <v>378</v>
      </c>
    </row>
    <row r="169" spans="1:12" hidden="1" x14ac:dyDescent="0.15">
      <c r="A169" t="s">
        <v>115</v>
      </c>
      <c r="B169" t="s">
        <v>379</v>
      </c>
      <c r="D169" t="s">
        <v>122</v>
      </c>
      <c r="E169" s="2" t="str">
        <f>VLOOKUP(J169,Sheet1!C:H,5,0)</f>
        <v>未清关</v>
      </c>
      <c r="F169" s="2"/>
      <c r="G169" t="s">
        <v>19</v>
      </c>
      <c r="H169" t="s">
        <v>148</v>
      </c>
      <c r="I169" t="s">
        <v>148</v>
      </c>
      <c r="J169" t="s">
        <v>380</v>
      </c>
    </row>
    <row r="170" spans="1:12" hidden="1" x14ac:dyDescent="0.15">
      <c r="A170" t="s">
        <v>115</v>
      </c>
      <c r="B170" t="s">
        <v>381</v>
      </c>
      <c r="C170" s="2" t="str">
        <f>_xlfn.XLOOKUP($B170,Sheet1!$I:$I,Sheet1!AS:AS,0,0,1)</f>
        <v>2026-01-27 00:00:00</v>
      </c>
      <c r="D170" t="s">
        <v>117</v>
      </c>
      <c r="E170" s="2" t="str">
        <f>VLOOKUP(J170,Sheet1!C:H,5,0)</f>
        <v>已完成</v>
      </c>
      <c r="F170" s="2"/>
      <c r="G170" t="s">
        <v>36</v>
      </c>
      <c r="H170" t="s">
        <v>382</v>
      </c>
      <c r="I170" t="s">
        <v>382</v>
      </c>
      <c r="J170" t="s">
        <v>383</v>
      </c>
      <c r="L170" s="2" t="str">
        <f>_xlfn.XLOOKUP(B170,Sheet1!I:I,Sheet1!BB:BB,0,0,1)</f>
        <v>2026-02-06 00:00:00</v>
      </c>
    </row>
    <row r="171" spans="1:12" hidden="1" x14ac:dyDescent="0.15">
      <c r="A171" t="s">
        <v>115</v>
      </c>
      <c r="B171" t="s">
        <v>384</v>
      </c>
      <c r="D171" t="s">
        <v>122</v>
      </c>
      <c r="E171" s="2" t="str">
        <f>VLOOKUP(J171,Sheet1!C:H,5,0)</f>
        <v>未清关</v>
      </c>
      <c r="F171" s="2"/>
      <c r="G171" t="s">
        <v>36</v>
      </c>
      <c r="H171" t="s">
        <v>37</v>
      </c>
      <c r="I171" t="s">
        <v>37</v>
      </c>
      <c r="J171" t="s">
        <v>385</v>
      </c>
    </row>
    <row r="172" spans="1:12" hidden="1" x14ac:dyDescent="0.15">
      <c r="A172" t="s">
        <v>115</v>
      </c>
      <c r="B172" t="s">
        <v>386</v>
      </c>
      <c r="C172" s="2" t="str">
        <f>_xlfn.XLOOKUP($B172,Sheet1!$I:$I,Sheet1!AS:AS,0,0,1)</f>
        <v>2026-02-04 00:00:00</v>
      </c>
      <c r="D172" t="s">
        <v>117</v>
      </c>
      <c r="E172" s="2" t="str">
        <f>VLOOKUP(J172,Sheet1!C:H,5,0)</f>
        <v>已完成</v>
      </c>
      <c r="F172" s="2"/>
      <c r="G172" t="s">
        <v>36</v>
      </c>
      <c r="H172" t="s">
        <v>341</v>
      </c>
      <c r="I172" t="s">
        <v>119</v>
      </c>
      <c r="J172" t="s">
        <v>387</v>
      </c>
      <c r="L172" s="2" t="str">
        <f>_xlfn.XLOOKUP(B172,Sheet1!I:I,Sheet1!BB:BB,0,0,1)</f>
        <v>2026-02-11 00:00:00</v>
      </c>
    </row>
    <row r="173" spans="1:12" hidden="1" x14ac:dyDescent="0.15">
      <c r="A173" t="s">
        <v>115</v>
      </c>
      <c r="B173" t="s">
        <v>388</v>
      </c>
      <c r="D173" t="s">
        <v>122</v>
      </c>
      <c r="E173" s="2" t="str">
        <f>VLOOKUP(J173,Sheet1!C:H,5,0)</f>
        <v>已完成</v>
      </c>
      <c r="F173" s="2"/>
      <c r="G173" t="s">
        <v>15</v>
      </c>
      <c r="H173" t="s">
        <v>135</v>
      </c>
      <c r="I173" t="s">
        <v>135</v>
      </c>
      <c r="J173" t="s">
        <v>389</v>
      </c>
    </row>
    <row r="174" spans="1:12" hidden="1" x14ac:dyDescent="0.15">
      <c r="A174" t="s">
        <v>115</v>
      </c>
      <c r="B174" t="s">
        <v>390</v>
      </c>
      <c r="C174" s="2" t="str">
        <f>_xlfn.XLOOKUP($B174,Sheet1!$I:$I,Sheet1!AS:AS,0,0,1)</f>
        <v>2026-01-26 00:00:00</v>
      </c>
      <c r="D174" t="s">
        <v>117</v>
      </c>
      <c r="E174" s="2" t="str">
        <f>VLOOKUP(J174,Sheet1!C:H,5,0)</f>
        <v>已完成</v>
      </c>
      <c r="F174" s="2"/>
      <c r="G174" t="s">
        <v>36</v>
      </c>
      <c r="H174" t="s">
        <v>132</v>
      </c>
      <c r="I174" t="s">
        <v>132</v>
      </c>
      <c r="J174" t="s">
        <v>391</v>
      </c>
      <c r="L174" s="2" t="str">
        <f>_xlfn.XLOOKUP(B174,Sheet1!I:I,Sheet1!BB:BB,0,0,1)</f>
        <v>2026-02-06 00:00:00</v>
      </c>
    </row>
    <row r="175" spans="1:12" hidden="1" x14ac:dyDescent="0.15">
      <c r="A175" t="s">
        <v>115</v>
      </c>
      <c r="B175" t="s">
        <v>392</v>
      </c>
      <c r="C175" s="2" t="str">
        <f>_xlfn.XLOOKUP($B175,Sheet1!$I:$I,Sheet1!AS:AS,0,0,1)</f>
        <v>2026-02-09 00:00:00</v>
      </c>
      <c r="D175" t="s">
        <v>117</v>
      </c>
      <c r="E175" s="2" t="str">
        <f>VLOOKUP(J175,Sheet1!C:H,5,0)</f>
        <v>已完成</v>
      </c>
      <c r="F175" s="2"/>
      <c r="G175" t="s">
        <v>19</v>
      </c>
      <c r="H175" t="s">
        <v>148</v>
      </c>
      <c r="I175" t="s">
        <v>148</v>
      </c>
      <c r="J175" t="s">
        <v>393</v>
      </c>
      <c r="L175" s="2" t="str">
        <f>_xlfn.XLOOKUP(B175,Sheet1!I:I,Sheet1!BB:BB,0,0,1)</f>
        <v>2026-02-17 00:00:00</v>
      </c>
    </row>
    <row r="176" spans="1:12" hidden="1" x14ac:dyDescent="0.15">
      <c r="A176" t="s">
        <v>115</v>
      </c>
      <c r="B176" t="s">
        <v>394</v>
      </c>
      <c r="C176" s="2" t="str">
        <f>_xlfn.XLOOKUP($B176,Sheet1!$I:$I,Sheet1!AS:AS,0,0,1)</f>
        <v>2026-02-09 00:00:00</v>
      </c>
      <c r="D176" t="s">
        <v>117</v>
      </c>
      <c r="E176" s="2" t="str">
        <f>VLOOKUP(J176,Sheet1!C:H,5,0)</f>
        <v>已完成</v>
      </c>
      <c r="F176" s="2"/>
      <c r="G176" t="s">
        <v>19</v>
      </c>
      <c r="H176" t="s">
        <v>118</v>
      </c>
      <c r="I176" t="s">
        <v>119</v>
      </c>
      <c r="J176" t="s">
        <v>395</v>
      </c>
      <c r="L176" s="2" t="str">
        <f>_xlfn.XLOOKUP(B176,Sheet1!I:I,Sheet1!BB:BB,0,0,1)</f>
        <v>2026-02-16 07:04:00</v>
      </c>
    </row>
    <row r="177" spans="1:12" hidden="1" x14ac:dyDescent="0.15">
      <c r="A177" t="s">
        <v>115</v>
      </c>
      <c r="B177" t="s">
        <v>396</v>
      </c>
      <c r="D177" t="s">
        <v>122</v>
      </c>
      <c r="E177" s="2" t="str">
        <f>VLOOKUP(J177,Sheet1!C:H,5,0)</f>
        <v>未清关</v>
      </c>
      <c r="F177" s="2"/>
      <c r="G177" t="s">
        <v>11</v>
      </c>
      <c r="H177" t="s">
        <v>12</v>
      </c>
      <c r="I177" t="s">
        <v>12</v>
      </c>
      <c r="J177" t="s">
        <v>397</v>
      </c>
    </row>
    <row r="178" spans="1:12" hidden="1" x14ac:dyDescent="0.15">
      <c r="A178" t="s">
        <v>115</v>
      </c>
      <c r="B178" t="s">
        <v>398</v>
      </c>
      <c r="C178" s="2" t="str">
        <f>_xlfn.XLOOKUP($B178,Sheet1!$I:$I,Sheet1!AS:AS,0,0,1)</f>
        <v>2026-02-19 23:59:59</v>
      </c>
      <c r="D178" t="s">
        <v>117</v>
      </c>
      <c r="E178" s="2" t="str">
        <f>VLOOKUP(J178,Sheet1!C:H,5,0)</f>
        <v>已完成</v>
      </c>
      <c r="F178" s="2"/>
      <c r="G178" t="s">
        <v>15</v>
      </c>
      <c r="H178" t="s">
        <v>135</v>
      </c>
      <c r="I178" t="s">
        <v>135</v>
      </c>
      <c r="J178" t="s">
        <v>399</v>
      </c>
      <c r="L178" s="2" t="str">
        <f>_xlfn.XLOOKUP(B178,Sheet1!I:I,Sheet1!BB:BB,0,0,1)</f>
        <v>2026-02-26 06:41:00</v>
      </c>
    </row>
    <row r="179" spans="1:12" hidden="1" x14ac:dyDescent="0.15">
      <c r="A179" t="s">
        <v>115</v>
      </c>
      <c r="B179" t="s">
        <v>400</v>
      </c>
      <c r="D179" t="s">
        <v>122</v>
      </c>
      <c r="E179" s="2" t="str">
        <f>VLOOKUP(J179,Sheet1!C:H,5,0)</f>
        <v>已完成</v>
      </c>
      <c r="F179" s="2"/>
      <c r="G179" t="s">
        <v>11</v>
      </c>
      <c r="H179" t="s">
        <v>80</v>
      </c>
      <c r="I179" t="s">
        <v>80</v>
      </c>
      <c r="J179" t="s">
        <v>401</v>
      </c>
    </row>
    <row r="180" spans="1:12" hidden="1" x14ac:dyDescent="0.15">
      <c r="A180" t="s">
        <v>115</v>
      </c>
      <c r="B180" t="s">
        <v>402</v>
      </c>
      <c r="C180" s="2" t="str">
        <f>_xlfn.XLOOKUP($B180,Sheet1!$I:$I,Sheet1!AS:AS,0,0,1)</f>
        <v>2026-01-26 00:00:00</v>
      </c>
      <c r="D180" t="s">
        <v>117</v>
      </c>
      <c r="E180" s="2" t="str">
        <f>VLOOKUP(J180,Sheet1!C:H,5,0)</f>
        <v>已完成</v>
      </c>
      <c r="F180" s="2"/>
      <c r="G180" t="s">
        <v>19</v>
      </c>
      <c r="H180" t="s">
        <v>264</v>
      </c>
      <c r="I180" t="s">
        <v>265</v>
      </c>
      <c r="J180" t="s">
        <v>403</v>
      </c>
      <c r="L180" s="2" t="str">
        <f>_xlfn.XLOOKUP(B180,Sheet1!I:I,Sheet1!BB:BB,0,0,1)</f>
        <v>2026-01-30 19:25:00</v>
      </c>
    </row>
    <row r="181" spans="1:12" hidden="1" x14ac:dyDescent="0.15">
      <c r="A181" t="s">
        <v>115</v>
      </c>
      <c r="B181" t="s">
        <v>404</v>
      </c>
      <c r="C181" s="2" t="str">
        <f>_xlfn.XLOOKUP($B181,Sheet1!$I:$I,Sheet1!AS:AS,0,0,1)</f>
        <v>2026-02-10 00:00:00</v>
      </c>
      <c r="D181" t="s">
        <v>117</v>
      </c>
      <c r="E181" s="2" t="str">
        <f>VLOOKUP(J181,Sheet1!C:H,5,0)</f>
        <v>已完成</v>
      </c>
      <c r="F181" s="2"/>
      <c r="G181" t="s">
        <v>19</v>
      </c>
      <c r="H181" t="s">
        <v>118</v>
      </c>
      <c r="I181" t="s">
        <v>119</v>
      </c>
      <c r="J181" t="s">
        <v>405</v>
      </c>
      <c r="L181" s="2" t="str">
        <f>_xlfn.XLOOKUP(B181,Sheet1!I:I,Sheet1!BB:BB,0,0,1)</f>
        <v>2026-02-16 07:08:00</v>
      </c>
    </row>
    <row r="182" spans="1:12" hidden="1" x14ac:dyDescent="0.15">
      <c r="A182" t="s">
        <v>115</v>
      </c>
      <c r="B182" t="s">
        <v>406</v>
      </c>
      <c r="C182" s="2" t="str">
        <f>_xlfn.XLOOKUP($B182,Sheet1!$I:$I,Sheet1!AS:AS,0,0,1)</f>
        <v>2026-02-13 23:59:59</v>
      </c>
      <c r="D182" t="s">
        <v>117</v>
      </c>
      <c r="E182" s="2" t="str">
        <f>VLOOKUP(J182,Sheet1!C:H,5,0)</f>
        <v>已完成</v>
      </c>
      <c r="F182" s="2"/>
      <c r="G182" t="s">
        <v>15</v>
      </c>
      <c r="H182" t="s">
        <v>138</v>
      </c>
      <c r="I182" t="s">
        <v>139</v>
      </c>
      <c r="J182" t="s">
        <v>407</v>
      </c>
      <c r="L182" s="2" t="str">
        <f>_xlfn.XLOOKUP(B182,Sheet1!I:I,Sheet1!BB:BB,0,0,1)</f>
        <v>2026-02-18 13:48:00</v>
      </c>
    </row>
    <row r="183" spans="1:12" hidden="1" x14ac:dyDescent="0.15">
      <c r="A183" t="s">
        <v>115</v>
      </c>
      <c r="B183" t="s">
        <v>408</v>
      </c>
      <c r="C183" s="2" t="str">
        <f>_xlfn.XLOOKUP($B183,Sheet1!$I:$I,Sheet1!AS:AS,0,0,1)</f>
        <v>2026-02-19 23:59:59</v>
      </c>
      <c r="D183" t="s">
        <v>117</v>
      </c>
      <c r="E183" s="2" t="str">
        <f>VLOOKUP(J183,Sheet1!C:H,5,0)</f>
        <v>已完成</v>
      </c>
      <c r="F183" s="2"/>
      <c r="G183" t="s">
        <v>15</v>
      </c>
      <c r="H183" t="s">
        <v>135</v>
      </c>
      <c r="I183" t="s">
        <v>135</v>
      </c>
      <c r="J183" t="s">
        <v>409</v>
      </c>
      <c r="L183" s="2" t="str">
        <f>_xlfn.XLOOKUP(B183,Sheet1!I:I,Sheet1!BB:BB,0,0,1)</f>
        <v>2026-02-26 07:14:00</v>
      </c>
    </row>
    <row r="184" spans="1:12" hidden="1" x14ac:dyDescent="0.15">
      <c r="A184" t="s">
        <v>115</v>
      </c>
      <c r="B184" t="s">
        <v>410</v>
      </c>
      <c r="C184" s="2" t="str">
        <f>_xlfn.XLOOKUP($B184,Sheet1!$I:$I,Sheet1!AS:AS,0,0,1)</f>
        <v>2026-01-27 00:00:00</v>
      </c>
      <c r="D184" t="s">
        <v>117</v>
      </c>
      <c r="E184" s="2" t="str">
        <f>VLOOKUP(J184,Sheet1!C:H,5,0)</f>
        <v>已完成</v>
      </c>
      <c r="F184" s="2"/>
      <c r="G184" t="s">
        <v>19</v>
      </c>
      <c r="H184" t="s">
        <v>264</v>
      </c>
      <c r="I184" t="s">
        <v>265</v>
      </c>
      <c r="J184" t="s">
        <v>411</v>
      </c>
      <c r="L184" s="2" t="str">
        <f>_xlfn.XLOOKUP(B184,Sheet1!I:I,Sheet1!BB:BB,0,0,1)</f>
        <v>2026-02-01 07:39:00</v>
      </c>
    </row>
    <row r="185" spans="1:12" hidden="1" x14ac:dyDescent="0.15">
      <c r="A185" t="s">
        <v>115</v>
      </c>
      <c r="B185" t="s">
        <v>412</v>
      </c>
      <c r="D185" t="s">
        <v>122</v>
      </c>
      <c r="E185" s="2" t="str">
        <f>VLOOKUP(J185,Sheet1!C:H,5,0)</f>
        <v>未清关</v>
      </c>
      <c r="F185" s="2"/>
      <c r="G185" t="s">
        <v>11</v>
      </c>
      <c r="H185" t="s">
        <v>12</v>
      </c>
      <c r="I185" t="s">
        <v>12</v>
      </c>
      <c r="J185" t="s">
        <v>413</v>
      </c>
    </row>
    <row r="186" spans="1:12" hidden="1" x14ac:dyDescent="0.15">
      <c r="A186" t="s">
        <v>115</v>
      </c>
      <c r="B186" t="s">
        <v>414</v>
      </c>
      <c r="D186" t="s">
        <v>122</v>
      </c>
      <c r="E186" s="2" t="str">
        <f>VLOOKUP(J186,Sheet1!C:H,5,0)</f>
        <v>已完成</v>
      </c>
      <c r="F186" s="2"/>
      <c r="G186" t="s">
        <v>15</v>
      </c>
      <c r="H186" t="s">
        <v>135</v>
      </c>
      <c r="I186" t="s">
        <v>135</v>
      </c>
      <c r="J186" t="s">
        <v>415</v>
      </c>
    </row>
    <row r="187" spans="1:12" hidden="1" x14ac:dyDescent="0.15">
      <c r="A187" t="s">
        <v>115</v>
      </c>
      <c r="B187" t="s">
        <v>416</v>
      </c>
      <c r="C187" s="2" t="str">
        <f>_xlfn.XLOOKUP($B187,Sheet1!$I:$I,Sheet1!AS:AS,0,0,1)</f>
        <v>2026-02-12 00:00:00</v>
      </c>
      <c r="D187" t="s">
        <v>117</v>
      </c>
      <c r="E187" s="2" t="str">
        <f>VLOOKUP(J187,Sheet1!C:H,5,0)</f>
        <v>已完成</v>
      </c>
      <c r="F187" s="2"/>
      <c r="G187" t="s">
        <v>19</v>
      </c>
      <c r="H187" t="s">
        <v>159</v>
      </c>
      <c r="I187" t="s">
        <v>160</v>
      </c>
      <c r="J187" t="s">
        <v>417</v>
      </c>
      <c r="L187" s="2" t="str">
        <f>_xlfn.XLOOKUP(B187,Sheet1!I:I,Sheet1!BB:BB,0,0,1)</f>
        <v>2026-02-19 07:47:00</v>
      </c>
    </row>
    <row r="188" spans="1:12" hidden="1" x14ac:dyDescent="0.15">
      <c r="A188" t="s">
        <v>115</v>
      </c>
      <c r="B188" t="s">
        <v>418</v>
      </c>
      <c r="C188" s="2" t="str">
        <f>_xlfn.XLOOKUP($B188,Sheet1!$I:$I,Sheet1!AS:AS,0,0,1)</f>
        <v>2026-02-10 09:38:00</v>
      </c>
      <c r="D188" t="s">
        <v>117</v>
      </c>
      <c r="E188" s="2" t="str">
        <f>VLOOKUP(J188,Sheet1!C:H,5,0)</f>
        <v>已完成</v>
      </c>
      <c r="F188" s="2"/>
      <c r="G188" t="s">
        <v>15</v>
      </c>
      <c r="H188" t="s">
        <v>138</v>
      </c>
      <c r="I188" t="s">
        <v>139</v>
      </c>
      <c r="J188" t="s">
        <v>419</v>
      </c>
      <c r="L188" s="2" t="str">
        <f>_xlfn.XLOOKUP(B188,Sheet1!I:I,Sheet1!BB:BB,0,0,1)</f>
        <v>2026-02-16 04:10:00</v>
      </c>
    </row>
    <row r="189" spans="1:12" hidden="1" x14ac:dyDescent="0.15">
      <c r="A189" t="s">
        <v>115</v>
      </c>
      <c r="B189" t="s">
        <v>420</v>
      </c>
      <c r="C189" s="2" t="str">
        <f>_xlfn.XLOOKUP($B189,Sheet1!$I:$I,Sheet1!AS:AS,0,0,1)</f>
        <v>2026-02-13 00:00:00</v>
      </c>
      <c r="D189" t="s">
        <v>117</v>
      </c>
      <c r="E189" s="2" t="str">
        <f>VLOOKUP(J189,Sheet1!C:H,5,0)</f>
        <v>未清关</v>
      </c>
      <c r="F189" s="2"/>
      <c r="G189" t="s">
        <v>19</v>
      </c>
      <c r="H189" t="s">
        <v>159</v>
      </c>
      <c r="I189" t="s">
        <v>160</v>
      </c>
      <c r="J189" t="s">
        <v>421</v>
      </c>
      <c r="L189" s="2" t="str">
        <f>_xlfn.XLOOKUP(B189,Sheet1!I:I,Sheet1!BB:BB,0,0,1)</f>
        <v>2026-02-18 13:15:00</v>
      </c>
    </row>
    <row r="190" spans="1:12" hidden="1" x14ac:dyDescent="0.15">
      <c r="A190" t="s">
        <v>115</v>
      </c>
      <c r="B190" t="s">
        <v>422</v>
      </c>
      <c r="D190" t="s">
        <v>122</v>
      </c>
      <c r="E190" s="2" t="str">
        <f>VLOOKUP(J190,Sheet1!C:H,5,0)</f>
        <v>已完成</v>
      </c>
      <c r="F190" s="2"/>
      <c r="G190" t="s">
        <v>15</v>
      </c>
      <c r="H190" t="s">
        <v>135</v>
      </c>
      <c r="I190" t="s">
        <v>135</v>
      </c>
      <c r="J190" t="s">
        <v>423</v>
      </c>
    </row>
    <row r="191" spans="1:12" hidden="1" x14ac:dyDescent="0.15">
      <c r="A191" t="s">
        <v>115</v>
      </c>
      <c r="B191" t="s">
        <v>424</v>
      </c>
      <c r="C191" s="2" t="str">
        <f>_xlfn.XLOOKUP($B191,Sheet1!$I:$I,Sheet1!AS:AS,0,0,1)</f>
        <v>2026-01-26 00:00:00</v>
      </c>
      <c r="D191" t="s">
        <v>117</v>
      </c>
      <c r="E191" s="2" t="str">
        <f>VLOOKUP(J191,Sheet1!C:H,5,0)</f>
        <v>已完成</v>
      </c>
      <c r="F191" s="2"/>
      <c r="G191" t="s">
        <v>36</v>
      </c>
      <c r="H191" t="s">
        <v>132</v>
      </c>
      <c r="I191" t="s">
        <v>132</v>
      </c>
      <c r="J191" t="s">
        <v>425</v>
      </c>
      <c r="L191" s="2" t="str">
        <f>_xlfn.XLOOKUP(B191,Sheet1!I:I,Sheet1!BB:BB,0,0,1)</f>
        <v>2026-01-30 00:00:00</v>
      </c>
    </row>
    <row r="192" spans="1:12" hidden="1" x14ac:dyDescent="0.15">
      <c r="A192" t="s">
        <v>115</v>
      </c>
      <c r="B192" t="s">
        <v>426</v>
      </c>
      <c r="C192" s="2" t="str">
        <f>_xlfn.XLOOKUP($B192,Sheet1!$I:$I,Sheet1!AS:AS,0,0,1)</f>
        <v>2026-02-10 00:00:00</v>
      </c>
      <c r="D192" t="s">
        <v>117</v>
      </c>
      <c r="E192" s="2" t="str">
        <f>VLOOKUP(J192,Sheet1!C:H,5,0)</f>
        <v>已完成</v>
      </c>
      <c r="F192" s="2"/>
      <c r="G192" t="s">
        <v>19</v>
      </c>
      <c r="H192" t="s">
        <v>118</v>
      </c>
      <c r="I192" t="s">
        <v>119</v>
      </c>
      <c r="J192" t="s">
        <v>427</v>
      </c>
      <c r="L192" s="2" t="str">
        <f>_xlfn.XLOOKUP(B192,Sheet1!I:I,Sheet1!BB:BB,0,0,1)</f>
        <v>2026-02-15 07:05:00</v>
      </c>
    </row>
    <row r="193" spans="1:12" hidden="1" x14ac:dyDescent="0.15">
      <c r="A193" t="s">
        <v>115</v>
      </c>
      <c r="B193" t="s">
        <v>428</v>
      </c>
      <c r="C193" s="2" t="str">
        <f>_xlfn.XLOOKUP($B193,Sheet1!$I:$I,Sheet1!AS:AS,0,0,1)</f>
        <v>2026-02-19 23:59:59</v>
      </c>
      <c r="D193" t="s">
        <v>117</v>
      </c>
      <c r="E193" s="2" t="str">
        <f>VLOOKUP(J193,Sheet1!C:H,5,0)</f>
        <v>已完成</v>
      </c>
      <c r="F193" s="2"/>
      <c r="G193" t="s">
        <v>15</v>
      </c>
      <c r="H193" t="s">
        <v>135</v>
      </c>
      <c r="I193" t="s">
        <v>135</v>
      </c>
      <c r="J193" t="s">
        <v>429</v>
      </c>
      <c r="L193" s="2" t="str">
        <f>_xlfn.XLOOKUP(B193,Sheet1!I:I,Sheet1!BB:BB,0,0,1)</f>
        <v>2026-02-19 15:46:00</v>
      </c>
    </row>
    <row r="194" spans="1:12" hidden="1" x14ac:dyDescent="0.15">
      <c r="A194" t="s">
        <v>115</v>
      </c>
      <c r="B194" t="s">
        <v>430</v>
      </c>
      <c r="D194" t="s">
        <v>122</v>
      </c>
      <c r="E194" s="2" t="str">
        <f>VLOOKUP(J194,Sheet1!C:H,5,0)</f>
        <v>未清关</v>
      </c>
      <c r="F194" s="2"/>
      <c r="G194" t="s">
        <v>15</v>
      </c>
      <c r="H194" t="s">
        <v>20</v>
      </c>
      <c r="I194" t="s">
        <v>20</v>
      </c>
      <c r="J194" t="s">
        <v>431</v>
      </c>
    </row>
    <row r="195" spans="1:12" hidden="1" x14ac:dyDescent="0.15">
      <c r="A195" t="s">
        <v>115</v>
      </c>
      <c r="B195" t="s">
        <v>432</v>
      </c>
      <c r="C195" s="2" t="str">
        <f>_xlfn.XLOOKUP($B195,Sheet1!$I:$I,Sheet1!AS:AS,0,0,1)</f>
        <v>2026-02-12 00:00:00</v>
      </c>
      <c r="D195" t="s">
        <v>117</v>
      </c>
      <c r="E195" s="2" t="str">
        <f>VLOOKUP(J195,Sheet1!C:H,5,0)</f>
        <v>未清关</v>
      </c>
      <c r="F195" s="2"/>
      <c r="G195" t="s">
        <v>19</v>
      </c>
      <c r="H195" t="s">
        <v>159</v>
      </c>
      <c r="I195" t="s">
        <v>160</v>
      </c>
      <c r="J195" t="s">
        <v>433</v>
      </c>
      <c r="L195" s="2" t="str">
        <f>_xlfn.XLOOKUP(B195,Sheet1!I:I,Sheet1!BB:BB,0,0,1)</f>
        <v>2026-02-18 09:21:00</v>
      </c>
    </row>
    <row r="196" spans="1:12" hidden="1" x14ac:dyDescent="0.15">
      <c r="A196" t="s">
        <v>115</v>
      </c>
      <c r="B196" t="s">
        <v>434</v>
      </c>
      <c r="C196" s="2" t="str">
        <f>_xlfn.XLOOKUP($B196,Sheet1!$I:$I,Sheet1!AS:AS,0,0,1)</f>
        <v>2026-02-05 00:00:00</v>
      </c>
      <c r="D196" t="s">
        <v>117</v>
      </c>
      <c r="E196" s="2" t="str">
        <f>VLOOKUP(J196,Sheet1!C:H,5,0)</f>
        <v>已完成</v>
      </c>
      <c r="F196" s="2"/>
      <c r="G196" t="s">
        <v>19</v>
      </c>
      <c r="H196" t="s">
        <v>119</v>
      </c>
      <c r="I196" t="s">
        <v>119</v>
      </c>
      <c r="J196" t="s">
        <v>435</v>
      </c>
      <c r="L196" s="2" t="str">
        <f>_xlfn.XLOOKUP(B196,Sheet1!I:I,Sheet1!BB:BB,0,0,1)</f>
        <v>2026-02-10 08:30:00</v>
      </c>
    </row>
    <row r="197" spans="1:12" hidden="1" x14ac:dyDescent="0.15">
      <c r="A197" t="s">
        <v>115</v>
      </c>
      <c r="B197" t="s">
        <v>436</v>
      </c>
      <c r="D197" t="s">
        <v>122</v>
      </c>
      <c r="E197" s="2" t="str">
        <f>VLOOKUP(J197,Sheet1!C:H,5,0)</f>
        <v>已完成</v>
      </c>
      <c r="F197" s="2"/>
      <c r="G197" t="s">
        <v>125</v>
      </c>
      <c r="H197" t="s">
        <v>129</v>
      </c>
      <c r="I197" t="s">
        <v>80</v>
      </c>
      <c r="J197" t="s">
        <v>437</v>
      </c>
    </row>
    <row r="198" spans="1:12" hidden="1" x14ac:dyDescent="0.15">
      <c r="A198" t="s">
        <v>115</v>
      </c>
      <c r="B198" t="s">
        <v>438</v>
      </c>
      <c r="D198" t="s">
        <v>122</v>
      </c>
      <c r="E198" s="2" t="str">
        <f>VLOOKUP(J198,Sheet1!C:H,5,0)</f>
        <v>未清关</v>
      </c>
      <c r="F198" s="2"/>
      <c r="G198" t="s">
        <v>36</v>
      </c>
      <c r="H198" t="s">
        <v>37</v>
      </c>
      <c r="I198" t="s">
        <v>37</v>
      </c>
      <c r="J198" t="s">
        <v>439</v>
      </c>
    </row>
    <row r="199" spans="1:12" hidden="1" x14ac:dyDescent="0.15">
      <c r="A199" t="s">
        <v>115</v>
      </c>
      <c r="B199" t="s">
        <v>440</v>
      </c>
      <c r="C199" s="2" t="str">
        <f>_xlfn.XLOOKUP($B199,Sheet1!$I:$I,Sheet1!AS:AS,0,0,1)</f>
        <v>2026-02-13 23:59:59</v>
      </c>
      <c r="D199" t="s">
        <v>117</v>
      </c>
      <c r="E199" s="2" t="str">
        <f>VLOOKUP(J199,Sheet1!C:H,5,0)</f>
        <v>已完成</v>
      </c>
      <c r="F199" s="2"/>
      <c r="G199" t="s">
        <v>15</v>
      </c>
      <c r="H199" t="s">
        <v>138</v>
      </c>
      <c r="I199" t="s">
        <v>139</v>
      </c>
      <c r="J199" t="s">
        <v>441</v>
      </c>
      <c r="L199" s="2" t="str">
        <f>_xlfn.XLOOKUP(B199,Sheet1!I:I,Sheet1!BB:BB,0,0,1)</f>
        <v>2026-02-18 05:31:00</v>
      </c>
    </row>
    <row r="200" spans="1:12" hidden="1" x14ac:dyDescent="0.15">
      <c r="A200" t="s">
        <v>115</v>
      </c>
      <c r="B200" t="s">
        <v>442</v>
      </c>
      <c r="D200" t="s">
        <v>122</v>
      </c>
      <c r="E200" s="2" t="str">
        <f>VLOOKUP(J200,Sheet1!C:H,5,0)</f>
        <v>未清关</v>
      </c>
      <c r="F200" s="2"/>
      <c r="G200" t="s">
        <v>15</v>
      </c>
      <c r="H200" t="s">
        <v>80</v>
      </c>
      <c r="I200" t="s">
        <v>80</v>
      </c>
      <c r="J200" t="s">
        <v>443</v>
      </c>
    </row>
    <row r="201" spans="1:12" hidden="1" x14ac:dyDescent="0.15">
      <c r="A201" t="s">
        <v>115</v>
      </c>
      <c r="B201" t="s">
        <v>444</v>
      </c>
      <c r="C201" s="2" t="str">
        <f>_xlfn.XLOOKUP($B201,Sheet1!$I:$I,Sheet1!AS:AS,0,0,1)</f>
        <v>2026-01-26 00:00:00</v>
      </c>
      <c r="D201" t="s">
        <v>117</v>
      </c>
      <c r="E201" s="2" t="str">
        <f>VLOOKUP(J201,Sheet1!C:H,5,0)</f>
        <v>已完成</v>
      </c>
      <c r="F201" s="2"/>
      <c r="G201" t="s">
        <v>19</v>
      </c>
      <c r="H201" t="s">
        <v>264</v>
      </c>
      <c r="I201" t="s">
        <v>265</v>
      </c>
      <c r="J201" t="s">
        <v>445</v>
      </c>
      <c r="L201" s="2" t="str">
        <f>_xlfn.XLOOKUP(B201,Sheet1!I:I,Sheet1!BB:BB,0,0,1)</f>
        <v>2026-01-28 07:33:00</v>
      </c>
    </row>
    <row r="202" spans="1:12" hidden="1" x14ac:dyDescent="0.15">
      <c r="A202" t="s">
        <v>115</v>
      </c>
      <c r="B202" t="s">
        <v>446</v>
      </c>
      <c r="D202" t="s">
        <v>122</v>
      </c>
      <c r="E202" s="2" t="str">
        <f>VLOOKUP(J202,Sheet1!C:H,5,0)</f>
        <v>未清关</v>
      </c>
      <c r="F202" s="2"/>
      <c r="G202" t="s">
        <v>36</v>
      </c>
      <c r="H202" t="s">
        <v>37</v>
      </c>
      <c r="I202" t="s">
        <v>37</v>
      </c>
      <c r="J202" t="s">
        <v>447</v>
      </c>
    </row>
    <row r="203" spans="1:12" hidden="1" x14ac:dyDescent="0.15">
      <c r="A203" t="s">
        <v>115</v>
      </c>
      <c r="B203" t="s">
        <v>448</v>
      </c>
      <c r="D203" t="s">
        <v>122</v>
      </c>
      <c r="E203" s="2" t="str">
        <f>VLOOKUP(J203,Sheet1!C:H,5,0)</f>
        <v>未清关</v>
      </c>
      <c r="F203" s="2"/>
      <c r="G203" t="s">
        <v>36</v>
      </c>
      <c r="H203" t="s">
        <v>37</v>
      </c>
      <c r="I203" t="s">
        <v>37</v>
      </c>
      <c r="J203" t="s">
        <v>449</v>
      </c>
    </row>
    <row r="204" spans="1:12" hidden="1" x14ac:dyDescent="0.15">
      <c r="A204" t="s">
        <v>115</v>
      </c>
      <c r="B204" t="s">
        <v>450</v>
      </c>
      <c r="D204" t="s">
        <v>122</v>
      </c>
      <c r="E204" s="2" t="str">
        <f>VLOOKUP(J204,Sheet1!C:H,5,0)</f>
        <v>未清关</v>
      </c>
      <c r="F204" s="2"/>
      <c r="G204" t="s">
        <v>15</v>
      </c>
      <c r="H204" t="s">
        <v>80</v>
      </c>
      <c r="I204" t="s">
        <v>80</v>
      </c>
      <c r="J204" t="s">
        <v>451</v>
      </c>
    </row>
    <row r="205" spans="1:12" hidden="1" x14ac:dyDescent="0.15">
      <c r="A205" t="s">
        <v>115</v>
      </c>
      <c r="B205" t="s">
        <v>452</v>
      </c>
      <c r="C205" s="2" t="str">
        <f>_xlfn.XLOOKUP($B205,Sheet1!$I:$I,Sheet1!AS:AS,0,0,1)</f>
        <v>2026-02-19 00:00:00</v>
      </c>
      <c r="D205" t="s">
        <v>117</v>
      </c>
      <c r="E205" s="2" t="str">
        <f>VLOOKUP(J205,Sheet1!C:H,5,0)</f>
        <v>已完成</v>
      </c>
      <c r="F205" s="2"/>
      <c r="G205" t="s">
        <v>125</v>
      </c>
      <c r="H205" t="s">
        <v>129</v>
      </c>
      <c r="I205" t="s">
        <v>80</v>
      </c>
      <c r="J205" t="s">
        <v>453</v>
      </c>
      <c r="L205" s="2" t="str">
        <f>_xlfn.XLOOKUP(B205,Sheet1!I:I,Sheet1!BB:BB,0,0,1)</f>
        <v>2026-02-26 00:00:00</v>
      </c>
    </row>
    <row r="206" spans="1:12" hidden="1" x14ac:dyDescent="0.15">
      <c r="A206" t="s">
        <v>115</v>
      </c>
      <c r="B206" t="s">
        <v>454</v>
      </c>
      <c r="D206" t="s">
        <v>122</v>
      </c>
      <c r="E206" s="2" t="str">
        <f>VLOOKUP(J206,Sheet1!C:H,5,0)</f>
        <v>已完成</v>
      </c>
      <c r="F206" s="2"/>
      <c r="G206" t="s">
        <v>15</v>
      </c>
      <c r="H206" t="s">
        <v>126</v>
      </c>
      <c r="I206" t="s">
        <v>159</v>
      </c>
      <c r="J206" t="s">
        <v>455</v>
      </c>
    </row>
    <row r="207" spans="1:12" hidden="1" x14ac:dyDescent="0.15">
      <c r="A207" t="s">
        <v>115</v>
      </c>
      <c r="B207" t="s">
        <v>456</v>
      </c>
      <c r="C207" s="2" t="str">
        <f>_xlfn.XLOOKUP($B207,Sheet1!$I:$I,Sheet1!AS:AS,0,0,1)</f>
        <v>2026-02-17 23:59:59</v>
      </c>
      <c r="D207" t="s">
        <v>117</v>
      </c>
      <c r="E207" s="2" t="str">
        <f>VLOOKUP(J207,Sheet1!C:H,5,0)</f>
        <v>已完成</v>
      </c>
      <c r="F207" s="2"/>
      <c r="G207" t="s">
        <v>15</v>
      </c>
      <c r="H207" t="s">
        <v>126</v>
      </c>
      <c r="I207" t="s">
        <v>159</v>
      </c>
      <c r="J207" t="s">
        <v>457</v>
      </c>
      <c r="L207" s="2" t="str">
        <f>_xlfn.XLOOKUP(B207,Sheet1!I:I,Sheet1!BB:BB,0,0,1)</f>
        <v>2026-02-24 10:33:00</v>
      </c>
    </row>
    <row r="208" spans="1:12" hidden="1" x14ac:dyDescent="0.15">
      <c r="A208" t="s">
        <v>115</v>
      </c>
      <c r="B208" t="s">
        <v>458</v>
      </c>
      <c r="C208" s="2" t="str">
        <f>_xlfn.XLOOKUP($B208,Sheet1!$I:$I,Sheet1!AS:AS,0,0,1)</f>
        <v>2026-02-17 23:59:59</v>
      </c>
      <c r="D208" t="s">
        <v>117</v>
      </c>
      <c r="E208" s="2" t="str">
        <f>VLOOKUP(J208,Sheet1!C:H,5,0)</f>
        <v>已完成</v>
      </c>
      <c r="F208" s="2"/>
      <c r="G208" t="s">
        <v>15</v>
      </c>
      <c r="H208" t="s">
        <v>126</v>
      </c>
      <c r="I208" t="s">
        <v>159</v>
      </c>
      <c r="J208" t="s">
        <v>459</v>
      </c>
      <c r="L208" s="2" t="str">
        <f>_xlfn.XLOOKUP(B208,Sheet1!I:I,Sheet1!BB:BB,0,0,1)</f>
        <v>2026-02-24 05:29:00</v>
      </c>
    </row>
    <row r="209" spans="1:12" hidden="1" x14ac:dyDescent="0.15">
      <c r="A209" t="s">
        <v>115</v>
      </c>
      <c r="B209" t="s">
        <v>460</v>
      </c>
      <c r="C209" s="2" t="str">
        <f>_xlfn.XLOOKUP($B209,Sheet1!$I:$I,Sheet1!AS:AS,0,0,1)</f>
        <v>2026-02-19 23:59:59</v>
      </c>
      <c r="D209" t="s">
        <v>117</v>
      </c>
      <c r="E209" s="2" t="str">
        <f>VLOOKUP(J209,Sheet1!C:H,5,0)</f>
        <v>已完成</v>
      </c>
      <c r="F209" s="2"/>
      <c r="G209" t="s">
        <v>15</v>
      </c>
      <c r="H209" t="s">
        <v>135</v>
      </c>
      <c r="I209" t="s">
        <v>135</v>
      </c>
      <c r="J209" t="s">
        <v>461</v>
      </c>
      <c r="L209" s="2" t="str">
        <f>_xlfn.XLOOKUP(B209,Sheet1!I:I,Sheet1!BB:BB,0,0,1)</f>
        <v>2026-02-20 05:09:00</v>
      </c>
    </row>
    <row r="210" spans="1:12" hidden="1" x14ac:dyDescent="0.15">
      <c r="A210" t="s">
        <v>115</v>
      </c>
      <c r="B210" t="s">
        <v>462</v>
      </c>
      <c r="C210" s="2" t="str">
        <f>_xlfn.XLOOKUP($B210,Sheet1!$I:$I,Sheet1!AS:AS,0,0,1)</f>
        <v>2026-02-09 16:48:23</v>
      </c>
      <c r="D210" t="s">
        <v>117</v>
      </c>
      <c r="E210" s="2" t="str">
        <f>VLOOKUP(J210,Sheet1!C:H,5,0)</f>
        <v>已完成</v>
      </c>
      <c r="F210" s="2"/>
      <c r="G210" t="s">
        <v>15</v>
      </c>
      <c r="H210" t="s">
        <v>138</v>
      </c>
      <c r="I210" t="s">
        <v>139</v>
      </c>
      <c r="J210" t="s">
        <v>463</v>
      </c>
      <c r="L210" s="2" t="str">
        <f>_xlfn.XLOOKUP(B210,Sheet1!I:I,Sheet1!BB:BB,0,0,1)</f>
        <v>2026-02-12 07:10:00</v>
      </c>
    </row>
    <row r="211" spans="1:12" hidden="1" x14ac:dyDescent="0.15">
      <c r="A211" t="s">
        <v>115</v>
      </c>
      <c r="B211" t="s">
        <v>464</v>
      </c>
      <c r="C211" s="2" t="str">
        <f>_xlfn.XLOOKUP($B211,Sheet1!$I:$I,Sheet1!AS:AS,0,0,1)</f>
        <v>2026-02-04 00:00:00</v>
      </c>
      <c r="D211" t="s">
        <v>117</v>
      </c>
      <c r="E211" s="2" t="str">
        <f>VLOOKUP(J211,Sheet1!C:H,5,0)</f>
        <v>已完成</v>
      </c>
      <c r="F211" s="2"/>
      <c r="G211" t="s">
        <v>36</v>
      </c>
      <c r="H211" t="s">
        <v>341</v>
      </c>
      <c r="I211" t="s">
        <v>119</v>
      </c>
      <c r="J211" t="s">
        <v>465</v>
      </c>
      <c r="L211" s="2" t="str">
        <f>_xlfn.XLOOKUP(B211,Sheet1!I:I,Sheet1!BB:BB,0,0,1)</f>
        <v>2026-02-10 00:00:00</v>
      </c>
    </row>
    <row r="212" spans="1:12" hidden="1" x14ac:dyDescent="0.15">
      <c r="A212" t="s">
        <v>115</v>
      </c>
      <c r="B212" t="s">
        <v>466</v>
      </c>
      <c r="C212" s="2" t="str">
        <f>_xlfn.XLOOKUP($B212,Sheet1!$I:$I,Sheet1!AS:AS,0,0,1)</f>
        <v>2026-02-04 00:00:00</v>
      </c>
      <c r="D212" t="s">
        <v>117</v>
      </c>
      <c r="E212" s="2" t="str">
        <f>VLOOKUP(J212,Sheet1!C:H,5,0)</f>
        <v>已完成</v>
      </c>
      <c r="F212" s="2"/>
      <c r="G212" t="s">
        <v>36</v>
      </c>
      <c r="H212" t="s">
        <v>341</v>
      </c>
      <c r="I212" t="s">
        <v>119</v>
      </c>
      <c r="J212" t="s">
        <v>467</v>
      </c>
      <c r="L212" s="2" t="str">
        <f>_xlfn.XLOOKUP(B212,Sheet1!I:I,Sheet1!BB:BB,0,0,1)</f>
        <v>2026-02-10 00:00:00</v>
      </c>
    </row>
    <row r="213" spans="1:12" hidden="1" x14ac:dyDescent="0.15">
      <c r="A213" t="s">
        <v>115</v>
      </c>
      <c r="B213" t="s">
        <v>468</v>
      </c>
      <c r="C213" s="2" t="str">
        <f>_xlfn.XLOOKUP($B213,Sheet1!$I:$I,Sheet1!AS:AS,0,0,1)</f>
        <v>2026-02-17 23:59:59</v>
      </c>
      <c r="D213" t="s">
        <v>117</v>
      </c>
      <c r="E213" s="2" t="str">
        <f>VLOOKUP(J213,Sheet1!C:H,5,0)</f>
        <v>已完成</v>
      </c>
      <c r="F213" s="2"/>
      <c r="G213" t="s">
        <v>15</v>
      </c>
      <c r="H213" t="s">
        <v>126</v>
      </c>
      <c r="I213" t="s">
        <v>159</v>
      </c>
      <c r="J213" t="s">
        <v>469</v>
      </c>
      <c r="L213" s="2" t="str">
        <f>_xlfn.XLOOKUP(B213,Sheet1!I:I,Sheet1!BB:BB,0,0,1)</f>
        <v>2026-02-21 08:50:00</v>
      </c>
    </row>
    <row r="214" spans="1:12" hidden="1" x14ac:dyDescent="0.15">
      <c r="A214" t="s">
        <v>115</v>
      </c>
      <c r="B214" t="s">
        <v>470</v>
      </c>
      <c r="C214" s="2" t="str">
        <f>_xlfn.XLOOKUP($B214,Sheet1!$I:$I,Sheet1!AS:AS,0,0,1)</f>
        <v>2026-02-09 00:00:00</v>
      </c>
      <c r="D214" t="s">
        <v>117</v>
      </c>
      <c r="E214" s="2" t="str">
        <f>VLOOKUP(J214,Sheet1!C:H,5,0)</f>
        <v>已完成</v>
      </c>
      <c r="F214" s="2"/>
      <c r="G214" t="s">
        <v>36</v>
      </c>
      <c r="H214" t="s">
        <v>119</v>
      </c>
      <c r="I214" t="s">
        <v>119</v>
      </c>
      <c r="J214" t="s">
        <v>471</v>
      </c>
      <c r="L214" s="2" t="str">
        <f>_xlfn.XLOOKUP(B214,Sheet1!I:I,Sheet1!BB:BB,0,0,1)</f>
        <v>2026-02-11 00:00:00</v>
      </c>
    </row>
    <row r="215" spans="1:12" hidden="1" x14ac:dyDescent="0.15">
      <c r="A215" t="s">
        <v>115</v>
      </c>
      <c r="B215" t="s">
        <v>472</v>
      </c>
      <c r="C215" s="2" t="str">
        <f>_xlfn.XLOOKUP($B215,Sheet1!$I:$I,Sheet1!AS:AS,0,0,1)</f>
        <v>2026-01-27 00:00:00</v>
      </c>
      <c r="D215" t="s">
        <v>117</v>
      </c>
      <c r="E215" s="2" t="str">
        <f>VLOOKUP(J215,Sheet1!C:H,5,0)</f>
        <v>已完成</v>
      </c>
      <c r="F215" s="2"/>
      <c r="G215" t="s">
        <v>36</v>
      </c>
      <c r="H215" t="s">
        <v>132</v>
      </c>
      <c r="I215" t="s">
        <v>132</v>
      </c>
      <c r="J215" t="s">
        <v>473</v>
      </c>
      <c r="L215" s="2" t="str">
        <f>_xlfn.XLOOKUP(B215,Sheet1!I:I,Sheet1!BB:BB,0,0,1)</f>
        <v>2026-02-06 00:00:00</v>
      </c>
    </row>
    <row r="216" spans="1:12" hidden="1" x14ac:dyDescent="0.15">
      <c r="A216" t="s">
        <v>115</v>
      </c>
      <c r="B216" t="s">
        <v>474</v>
      </c>
      <c r="D216" t="s">
        <v>122</v>
      </c>
      <c r="E216" s="2" t="str">
        <f>VLOOKUP(J216,Sheet1!C:H,5,0)</f>
        <v>已完成</v>
      </c>
      <c r="F216" s="2"/>
      <c r="G216" t="s">
        <v>15</v>
      </c>
      <c r="H216" t="s">
        <v>20</v>
      </c>
      <c r="I216" t="s">
        <v>20</v>
      </c>
      <c r="J216" t="s">
        <v>475</v>
      </c>
    </row>
    <row r="217" spans="1:12" hidden="1" x14ac:dyDescent="0.15">
      <c r="A217" t="s">
        <v>115</v>
      </c>
      <c r="B217" t="s">
        <v>476</v>
      </c>
      <c r="D217" t="s">
        <v>122</v>
      </c>
      <c r="E217" s="2" t="str">
        <f>VLOOKUP(J217,Sheet1!C:H,5,0)</f>
        <v>未清关</v>
      </c>
      <c r="F217" s="2"/>
      <c r="G217" t="s">
        <v>15</v>
      </c>
      <c r="H217" t="s">
        <v>80</v>
      </c>
      <c r="I217" t="s">
        <v>80</v>
      </c>
      <c r="J217" t="s">
        <v>477</v>
      </c>
    </row>
    <row r="218" spans="1:12" hidden="1" x14ac:dyDescent="0.15">
      <c r="A218" t="s">
        <v>115</v>
      </c>
      <c r="B218" t="s">
        <v>478</v>
      </c>
      <c r="C218" s="2" t="str">
        <f>_xlfn.XLOOKUP($B218,Sheet1!$I:$I,Sheet1!AS:AS,0,0,1)</f>
        <v>2026-02-09 00:00:00</v>
      </c>
      <c r="D218" t="s">
        <v>117</v>
      </c>
      <c r="E218" s="2" t="str">
        <f>VLOOKUP(J218,Sheet1!C:H,5,0)</f>
        <v>已完成</v>
      </c>
      <c r="F218" s="2"/>
      <c r="G218" t="s">
        <v>36</v>
      </c>
      <c r="H218" t="s">
        <v>119</v>
      </c>
      <c r="I218" t="s">
        <v>119</v>
      </c>
      <c r="J218" t="s">
        <v>479</v>
      </c>
      <c r="L218" s="2" t="str">
        <f>_xlfn.XLOOKUP(B218,Sheet1!I:I,Sheet1!BB:BB,0,0,1)</f>
        <v>2026-02-19 00:00:00</v>
      </c>
    </row>
    <row r="219" spans="1:12" hidden="1" x14ac:dyDescent="0.15">
      <c r="A219" t="s">
        <v>115</v>
      </c>
      <c r="B219" t="s">
        <v>480</v>
      </c>
      <c r="C219" s="2" t="str">
        <f>_xlfn.XLOOKUP($B219,Sheet1!$I:$I,Sheet1!AS:AS,0,0,1)</f>
        <v>2026-02-19 23:59:59</v>
      </c>
      <c r="D219" t="s">
        <v>117</v>
      </c>
      <c r="E219" s="2" t="str">
        <f>VLOOKUP(J219,Sheet1!C:H,5,0)</f>
        <v>已完成</v>
      </c>
      <c r="F219" s="2"/>
      <c r="G219" t="s">
        <v>15</v>
      </c>
      <c r="H219" t="s">
        <v>135</v>
      </c>
      <c r="I219" t="s">
        <v>135</v>
      </c>
      <c r="J219" t="s">
        <v>481</v>
      </c>
      <c r="L219" s="2" t="str">
        <f>_xlfn.XLOOKUP(B219,Sheet1!I:I,Sheet1!BB:BB,0,0,1)</f>
        <v>2026-02-26 06:20:00</v>
      </c>
    </row>
    <row r="220" spans="1:12" hidden="1" x14ac:dyDescent="0.15">
      <c r="A220" t="s">
        <v>115</v>
      </c>
      <c r="B220" t="s">
        <v>482</v>
      </c>
      <c r="C220" s="2" t="str">
        <f>_xlfn.XLOOKUP($B220,Sheet1!$I:$I,Sheet1!AS:AS,0,0,1)</f>
        <v>2026-02-09 08:48:00</v>
      </c>
      <c r="D220" t="s">
        <v>117</v>
      </c>
      <c r="E220" s="2" t="str">
        <f>VLOOKUP(J220,Sheet1!C:H,5,0)</f>
        <v>已完成</v>
      </c>
      <c r="F220" s="2"/>
      <c r="G220" t="s">
        <v>15</v>
      </c>
      <c r="H220" t="s">
        <v>138</v>
      </c>
      <c r="I220" t="s">
        <v>139</v>
      </c>
      <c r="J220" t="s">
        <v>483</v>
      </c>
      <c r="L220" s="2" t="str">
        <f>_xlfn.XLOOKUP(B220,Sheet1!I:I,Sheet1!BB:BB,0,0,1)</f>
        <v>2026-02-16 04:31:00</v>
      </c>
    </row>
    <row r="221" spans="1:12" s="2" customFormat="1" x14ac:dyDescent="0.15">
      <c r="A221" s="2" t="s">
        <v>484</v>
      </c>
      <c r="B221" s="2" t="s">
        <v>485</v>
      </c>
      <c r="D221" s="2" t="s">
        <v>10</v>
      </c>
      <c r="E221" s="2" t="str">
        <f>VLOOKUP(J221,Sheet1!C:H,5,0)</f>
        <v>未清关</v>
      </c>
      <c r="G221" s="2" t="s">
        <v>11</v>
      </c>
      <c r="H221" s="2" t="s">
        <v>486</v>
      </c>
      <c r="J221" s="2" t="s">
        <v>487</v>
      </c>
    </row>
    <row r="222" spans="1:12" x14ac:dyDescent="0.15">
      <c r="A222" t="s">
        <v>484</v>
      </c>
      <c r="B222" t="s">
        <v>488</v>
      </c>
      <c r="D222" t="s">
        <v>10</v>
      </c>
      <c r="E222" s="2" t="str">
        <f>VLOOKUP(J222,Sheet1!C:H,5,0)</f>
        <v>未清关</v>
      </c>
      <c r="F222" s="2"/>
      <c r="G222" t="s">
        <v>11</v>
      </c>
      <c r="H222" t="s">
        <v>489</v>
      </c>
      <c r="J222" t="s">
        <v>490</v>
      </c>
    </row>
    <row r="223" spans="1:12" x14ac:dyDescent="0.15">
      <c r="A223" t="s">
        <v>484</v>
      </c>
      <c r="B223" t="s">
        <v>491</v>
      </c>
      <c r="D223" t="s">
        <v>10</v>
      </c>
      <c r="E223" s="2" t="str">
        <f>VLOOKUP(J223,Sheet1!C:H,5,0)</f>
        <v>未清关</v>
      </c>
      <c r="F223" s="2"/>
      <c r="G223" t="s">
        <v>15</v>
      </c>
      <c r="H223" t="s">
        <v>492</v>
      </c>
      <c r="J223" t="s">
        <v>493</v>
      </c>
    </row>
    <row r="224" spans="1:12" x14ac:dyDescent="0.15">
      <c r="A224" t="s">
        <v>484</v>
      </c>
      <c r="B224" t="s">
        <v>494</v>
      </c>
      <c r="D224" t="s">
        <v>10</v>
      </c>
      <c r="E224" s="2" t="str">
        <f>VLOOKUP(J224,Sheet1!C:H,5,0)</f>
        <v>未清关</v>
      </c>
      <c r="F224" s="2"/>
      <c r="G224" t="s">
        <v>15</v>
      </c>
      <c r="H224" t="s">
        <v>492</v>
      </c>
      <c r="J224" t="s">
        <v>495</v>
      </c>
    </row>
    <row r="225" spans="1:10" x14ac:dyDescent="0.15">
      <c r="A225" t="s">
        <v>484</v>
      </c>
      <c r="B225" t="s">
        <v>496</v>
      </c>
      <c r="D225" t="s">
        <v>10</v>
      </c>
      <c r="E225" s="2" t="str">
        <f>VLOOKUP(J225,Sheet1!C:H,5,0)</f>
        <v>未清关</v>
      </c>
      <c r="F225" s="2"/>
      <c r="G225" t="s">
        <v>15</v>
      </c>
      <c r="H225" t="s">
        <v>497</v>
      </c>
      <c r="J225" t="s">
        <v>498</v>
      </c>
    </row>
    <row r="226" spans="1:10" x14ac:dyDescent="0.15">
      <c r="A226" t="s">
        <v>484</v>
      </c>
      <c r="B226" t="s">
        <v>499</v>
      </c>
      <c r="D226" t="s">
        <v>10</v>
      </c>
      <c r="E226" s="2" t="str">
        <f>VLOOKUP(J226,Sheet1!C:H,5,0)</f>
        <v>未清关</v>
      </c>
      <c r="F226" s="2"/>
      <c r="G226" t="s">
        <v>15</v>
      </c>
      <c r="H226" t="s">
        <v>500</v>
      </c>
      <c r="J226" t="s">
        <v>501</v>
      </c>
    </row>
    <row r="227" spans="1:10" x14ac:dyDescent="0.15">
      <c r="A227" t="s">
        <v>484</v>
      </c>
      <c r="B227" t="s">
        <v>502</v>
      </c>
      <c r="D227" t="s">
        <v>10</v>
      </c>
      <c r="E227" s="2" t="str">
        <f>VLOOKUP(J227,Sheet1!C:H,5,0)</f>
        <v>未清关</v>
      </c>
      <c r="F227" s="2"/>
      <c r="G227" t="s">
        <v>125</v>
      </c>
      <c r="H227" t="s">
        <v>503</v>
      </c>
      <c r="J227" t="s">
        <v>504</v>
      </c>
    </row>
    <row r="228" spans="1:10" x14ac:dyDescent="0.15">
      <c r="A228" t="s">
        <v>484</v>
      </c>
      <c r="B228" t="s">
        <v>505</v>
      </c>
      <c r="D228" t="s">
        <v>10</v>
      </c>
      <c r="E228" s="2" t="str">
        <f>VLOOKUP(J228,Sheet1!C:H,5,0)</f>
        <v>未清关</v>
      </c>
      <c r="F228" s="2"/>
      <c r="G228" t="s">
        <v>15</v>
      </c>
      <c r="H228" t="s">
        <v>506</v>
      </c>
      <c r="J228" t="s">
        <v>507</v>
      </c>
    </row>
    <row r="229" spans="1:10" x14ac:dyDescent="0.15">
      <c r="A229" t="s">
        <v>484</v>
      </c>
      <c r="B229" t="s">
        <v>508</v>
      </c>
      <c r="D229" t="s">
        <v>10</v>
      </c>
      <c r="E229" s="2" t="str">
        <f>VLOOKUP(J229,Sheet1!C:H,5,0)</f>
        <v>未清关</v>
      </c>
      <c r="F229" s="2"/>
      <c r="G229" t="s">
        <v>15</v>
      </c>
      <c r="H229" t="s">
        <v>492</v>
      </c>
      <c r="J229" t="s">
        <v>509</v>
      </c>
    </row>
    <row r="230" spans="1:10" x14ac:dyDescent="0.15">
      <c r="A230" t="s">
        <v>484</v>
      </c>
      <c r="B230" t="s">
        <v>510</v>
      </c>
      <c r="D230" t="s">
        <v>10</v>
      </c>
      <c r="E230" s="2" t="str">
        <f>VLOOKUP(J230,Sheet1!C:H,5,0)</f>
        <v>未清关</v>
      </c>
      <c r="F230" s="2"/>
      <c r="G230" t="s">
        <v>15</v>
      </c>
      <c r="H230" t="s">
        <v>492</v>
      </c>
      <c r="J230" t="s">
        <v>511</v>
      </c>
    </row>
    <row r="231" spans="1:10" x14ac:dyDescent="0.15">
      <c r="A231" t="s">
        <v>484</v>
      </c>
      <c r="B231" t="s">
        <v>512</v>
      </c>
      <c r="D231" t="s">
        <v>10</v>
      </c>
      <c r="E231" s="2" t="str">
        <f>VLOOKUP(J231,Sheet1!C:H,5,0)</f>
        <v>未清关</v>
      </c>
      <c r="F231" s="2"/>
      <c r="G231" t="s">
        <v>15</v>
      </c>
      <c r="H231" t="s">
        <v>492</v>
      </c>
      <c r="J231" t="s">
        <v>513</v>
      </c>
    </row>
    <row r="232" spans="1:10" x14ac:dyDescent="0.15">
      <c r="A232" t="s">
        <v>484</v>
      </c>
      <c r="B232" t="s">
        <v>514</v>
      </c>
      <c r="D232" t="s">
        <v>10</v>
      </c>
      <c r="E232" s="2" t="str">
        <f>VLOOKUP(J232,Sheet1!C:H,5,0)</f>
        <v>未清关</v>
      </c>
      <c r="F232" s="2"/>
      <c r="G232" t="s">
        <v>15</v>
      </c>
      <c r="H232" t="s">
        <v>515</v>
      </c>
      <c r="J232" t="s">
        <v>516</v>
      </c>
    </row>
    <row r="233" spans="1:10" x14ac:dyDescent="0.15">
      <c r="A233" t="s">
        <v>484</v>
      </c>
      <c r="B233" t="s">
        <v>517</v>
      </c>
      <c r="D233" t="s">
        <v>10</v>
      </c>
      <c r="E233" s="2" t="str">
        <f>VLOOKUP(J233,Sheet1!C:H,5,0)</f>
        <v>未清关</v>
      </c>
      <c r="F233" s="2"/>
      <c r="G233" t="s">
        <v>125</v>
      </c>
      <c r="H233" t="s">
        <v>503</v>
      </c>
      <c r="J233" t="s">
        <v>518</v>
      </c>
    </row>
    <row r="234" spans="1:10" x14ac:dyDescent="0.15">
      <c r="A234" t="s">
        <v>484</v>
      </c>
      <c r="B234" t="s">
        <v>519</v>
      </c>
      <c r="D234" t="s">
        <v>10</v>
      </c>
      <c r="E234" s="2" t="str">
        <f>VLOOKUP(J234,Sheet1!C:H,5,0)</f>
        <v>未清关</v>
      </c>
      <c r="F234" s="2"/>
      <c r="G234" t="s">
        <v>125</v>
      </c>
      <c r="H234" t="s">
        <v>503</v>
      </c>
      <c r="J234" t="s">
        <v>520</v>
      </c>
    </row>
    <row r="235" spans="1:10" x14ac:dyDescent="0.15">
      <c r="A235" t="s">
        <v>484</v>
      </c>
      <c r="B235" t="s">
        <v>521</v>
      </c>
      <c r="D235" t="s">
        <v>10</v>
      </c>
      <c r="E235" s="2" t="str">
        <f>VLOOKUP(J235,Sheet1!C:H,5,0)</f>
        <v>未清关</v>
      </c>
      <c r="F235" s="2"/>
      <c r="G235" t="s">
        <v>125</v>
      </c>
      <c r="H235" t="s">
        <v>503</v>
      </c>
      <c r="J235" t="s">
        <v>522</v>
      </c>
    </row>
    <row r="236" spans="1:10" x14ac:dyDescent="0.15">
      <c r="A236" t="s">
        <v>484</v>
      </c>
      <c r="B236" t="s">
        <v>523</v>
      </c>
      <c r="D236" t="s">
        <v>10</v>
      </c>
      <c r="E236" s="2" t="str">
        <f>VLOOKUP(J236,Sheet1!C:H,5,0)</f>
        <v>未清关</v>
      </c>
      <c r="F236" s="2"/>
      <c r="G236" t="s">
        <v>125</v>
      </c>
      <c r="H236" t="s">
        <v>503</v>
      </c>
      <c r="J236" t="s">
        <v>524</v>
      </c>
    </row>
    <row r="237" spans="1:10" x14ac:dyDescent="0.15">
      <c r="A237" t="s">
        <v>484</v>
      </c>
      <c r="B237" t="s">
        <v>525</v>
      </c>
      <c r="D237" t="s">
        <v>10</v>
      </c>
      <c r="E237" s="2" t="str">
        <f>VLOOKUP(J237,Sheet1!C:H,5,0)</f>
        <v>未清关</v>
      </c>
      <c r="F237" s="2"/>
      <c r="G237" t="s">
        <v>125</v>
      </c>
      <c r="H237" t="s">
        <v>503</v>
      </c>
      <c r="J237" t="s">
        <v>526</v>
      </c>
    </row>
    <row r="238" spans="1:10" x14ac:dyDescent="0.15">
      <c r="A238" t="s">
        <v>484</v>
      </c>
      <c r="B238" t="s">
        <v>527</v>
      </c>
      <c r="D238" t="s">
        <v>10</v>
      </c>
      <c r="E238" s="2" t="str">
        <f>VLOOKUP(J238,Sheet1!C:H,5,0)</f>
        <v>未清关</v>
      </c>
      <c r="F238" s="2"/>
      <c r="G238" t="s">
        <v>125</v>
      </c>
      <c r="H238" t="s">
        <v>503</v>
      </c>
      <c r="J238" t="s">
        <v>528</v>
      </c>
    </row>
    <row r="239" spans="1:10" x14ac:dyDescent="0.15">
      <c r="A239" t="s">
        <v>484</v>
      </c>
      <c r="B239" t="s">
        <v>529</v>
      </c>
      <c r="D239" t="s">
        <v>10</v>
      </c>
      <c r="E239" s="2" t="str">
        <f>VLOOKUP(J239,Sheet1!C:H,5,0)</f>
        <v>未清关</v>
      </c>
      <c r="F239" s="2"/>
      <c r="G239" t="s">
        <v>15</v>
      </c>
      <c r="H239" t="s">
        <v>530</v>
      </c>
      <c r="J239" t="s">
        <v>531</v>
      </c>
    </row>
    <row r="240" spans="1:10" x14ac:dyDescent="0.15">
      <c r="A240" t="s">
        <v>484</v>
      </c>
      <c r="B240" t="s">
        <v>532</v>
      </c>
      <c r="D240" t="s">
        <v>10</v>
      </c>
      <c r="E240" s="2" t="str">
        <f>VLOOKUP(J240,Sheet1!C:H,5,0)</f>
        <v>未清关</v>
      </c>
      <c r="F240" s="2"/>
      <c r="G240" t="s">
        <v>15</v>
      </c>
      <c r="H240" t="s">
        <v>492</v>
      </c>
      <c r="J240" t="s">
        <v>533</v>
      </c>
    </row>
    <row r="241" spans="1:10" x14ac:dyDescent="0.15">
      <c r="A241" t="s">
        <v>484</v>
      </c>
      <c r="B241" t="s">
        <v>534</v>
      </c>
      <c r="D241" t="s">
        <v>10</v>
      </c>
      <c r="E241" s="2" t="str">
        <f>VLOOKUP(J241,Sheet1!C:H,5,0)</f>
        <v>未清关</v>
      </c>
      <c r="F241" s="2"/>
      <c r="G241" t="s">
        <v>11</v>
      </c>
      <c r="H241" t="s">
        <v>535</v>
      </c>
      <c r="J241" t="s">
        <v>536</v>
      </c>
    </row>
    <row r="242" spans="1:10" x14ac:dyDescent="0.15">
      <c r="A242" t="s">
        <v>484</v>
      </c>
      <c r="B242" t="s">
        <v>537</v>
      </c>
      <c r="D242" t="s">
        <v>10</v>
      </c>
      <c r="E242" s="2" t="str">
        <f>VLOOKUP(J242,Sheet1!C:H,5,0)</f>
        <v>未清关</v>
      </c>
      <c r="F242" s="2"/>
      <c r="G242" t="s">
        <v>11</v>
      </c>
      <c r="H242" t="s">
        <v>489</v>
      </c>
      <c r="J242" t="s">
        <v>538</v>
      </c>
    </row>
    <row r="243" spans="1:10" x14ac:dyDescent="0.15">
      <c r="A243" t="s">
        <v>484</v>
      </c>
      <c r="B243" t="s">
        <v>539</v>
      </c>
      <c r="D243" t="s">
        <v>10</v>
      </c>
      <c r="E243" s="2" t="str">
        <f>VLOOKUP(J243,Sheet1!C:H,5,0)</f>
        <v>未清关</v>
      </c>
      <c r="F243" s="2"/>
      <c r="G243" t="s">
        <v>125</v>
      </c>
      <c r="H243" t="s">
        <v>492</v>
      </c>
      <c r="J243" t="s">
        <v>540</v>
      </c>
    </row>
    <row r="244" spans="1:10" x14ac:dyDescent="0.15">
      <c r="A244" t="s">
        <v>484</v>
      </c>
      <c r="B244" t="s">
        <v>541</v>
      </c>
      <c r="D244" t="s">
        <v>10</v>
      </c>
      <c r="E244" s="2" t="str">
        <f>VLOOKUP(J244,Sheet1!C:H,5,0)</f>
        <v>未清关</v>
      </c>
      <c r="F244" s="2"/>
      <c r="G244" t="s">
        <v>15</v>
      </c>
      <c r="H244" t="s">
        <v>542</v>
      </c>
      <c r="J244" t="s">
        <v>543</v>
      </c>
    </row>
    <row r="245" spans="1:10" x14ac:dyDescent="0.15">
      <c r="A245" t="s">
        <v>484</v>
      </c>
      <c r="B245" t="s">
        <v>544</v>
      </c>
      <c r="D245" t="s">
        <v>10</v>
      </c>
      <c r="E245" s="2" t="str">
        <f>VLOOKUP(J245,Sheet1!C:H,5,0)</f>
        <v>未清关</v>
      </c>
      <c r="F245" s="2"/>
      <c r="G245" t="s">
        <v>125</v>
      </c>
      <c r="H245" t="s">
        <v>545</v>
      </c>
      <c r="J245" t="s">
        <v>546</v>
      </c>
    </row>
    <row r="246" spans="1:10" x14ac:dyDescent="0.15">
      <c r="A246" t="s">
        <v>484</v>
      </c>
      <c r="B246" t="s">
        <v>547</v>
      </c>
      <c r="D246" t="s">
        <v>10</v>
      </c>
      <c r="E246" s="2" t="str">
        <f>VLOOKUP(J246,Sheet1!C:H,5,0)</f>
        <v>未清关</v>
      </c>
      <c r="F246" s="2"/>
      <c r="G246" t="s">
        <v>15</v>
      </c>
      <c r="H246" t="s">
        <v>506</v>
      </c>
      <c r="J246" t="s">
        <v>548</v>
      </c>
    </row>
    <row r="247" spans="1:10" x14ac:dyDescent="0.15">
      <c r="A247" t="s">
        <v>484</v>
      </c>
      <c r="B247" t="s">
        <v>549</v>
      </c>
      <c r="D247" t="s">
        <v>10</v>
      </c>
      <c r="E247" s="2" t="str">
        <f>VLOOKUP(J247,Sheet1!C:H,5,0)</f>
        <v>未清关</v>
      </c>
      <c r="F247" s="2"/>
      <c r="G247" t="s">
        <v>11</v>
      </c>
      <c r="H247" t="s">
        <v>489</v>
      </c>
      <c r="J247" t="s">
        <v>550</v>
      </c>
    </row>
    <row r="248" spans="1:10" x14ac:dyDescent="0.15">
      <c r="A248" t="s">
        <v>484</v>
      </c>
      <c r="B248" t="s">
        <v>551</v>
      </c>
      <c r="D248" t="s">
        <v>10</v>
      </c>
      <c r="E248" s="2" t="str">
        <f>VLOOKUP(J248,Sheet1!C:H,5,0)</f>
        <v>未清关</v>
      </c>
      <c r="F248" s="2"/>
      <c r="G248" t="s">
        <v>15</v>
      </c>
      <c r="H248" t="s">
        <v>492</v>
      </c>
      <c r="J248" t="s">
        <v>552</v>
      </c>
    </row>
    <row r="249" spans="1:10" x14ac:dyDescent="0.15">
      <c r="A249" t="s">
        <v>484</v>
      </c>
      <c r="B249" t="s">
        <v>553</v>
      </c>
      <c r="D249" t="s">
        <v>10</v>
      </c>
      <c r="E249" s="2" t="str">
        <f>VLOOKUP(J249,Sheet1!C:H,5,0)</f>
        <v>未清关</v>
      </c>
      <c r="F249" s="2"/>
      <c r="G249" t="s">
        <v>15</v>
      </c>
      <c r="H249" t="s">
        <v>497</v>
      </c>
      <c r="J249" t="s">
        <v>554</v>
      </c>
    </row>
    <row r="250" spans="1:10" x14ac:dyDescent="0.15">
      <c r="A250" t="s">
        <v>484</v>
      </c>
      <c r="B250" t="s">
        <v>555</v>
      </c>
      <c r="D250" t="s">
        <v>10</v>
      </c>
      <c r="E250" s="2" t="str">
        <f>VLOOKUP(J250,Sheet1!C:H,5,0)</f>
        <v>未清关</v>
      </c>
      <c r="F250" s="2"/>
      <c r="G250" t="s">
        <v>125</v>
      </c>
      <c r="H250" t="s">
        <v>545</v>
      </c>
      <c r="J250" t="s">
        <v>556</v>
      </c>
    </row>
    <row r="251" spans="1:10" x14ac:dyDescent="0.15">
      <c r="A251" t="s">
        <v>484</v>
      </c>
      <c r="B251" t="s">
        <v>557</v>
      </c>
      <c r="D251" t="s">
        <v>10</v>
      </c>
      <c r="E251" s="2" t="str">
        <f>VLOOKUP(J251,Sheet1!C:H,5,0)</f>
        <v>未清关</v>
      </c>
      <c r="F251" s="2"/>
      <c r="G251" t="s">
        <v>15</v>
      </c>
      <c r="H251" t="s">
        <v>500</v>
      </c>
      <c r="J251" t="s">
        <v>558</v>
      </c>
    </row>
    <row r="252" spans="1:10" x14ac:dyDescent="0.15">
      <c r="A252" t="s">
        <v>484</v>
      </c>
      <c r="B252" t="s">
        <v>559</v>
      </c>
      <c r="D252" t="s">
        <v>10</v>
      </c>
      <c r="E252" s="2" t="str">
        <f>VLOOKUP(J252,Sheet1!C:H,5,0)</f>
        <v>未清关</v>
      </c>
      <c r="F252" s="2"/>
      <c r="G252" t="s">
        <v>15</v>
      </c>
      <c r="H252" t="s">
        <v>500</v>
      </c>
      <c r="J252" t="s">
        <v>560</v>
      </c>
    </row>
    <row r="253" spans="1:10" x14ac:dyDescent="0.15">
      <c r="A253" t="s">
        <v>484</v>
      </c>
      <c r="B253" t="s">
        <v>561</v>
      </c>
      <c r="D253" t="s">
        <v>10</v>
      </c>
      <c r="E253" s="2" t="str">
        <f>VLOOKUP(J253,Sheet1!C:H,5,0)</f>
        <v>未清关</v>
      </c>
      <c r="F253" s="2"/>
      <c r="G253" t="s">
        <v>36</v>
      </c>
      <c r="H253" t="s">
        <v>562</v>
      </c>
      <c r="J253" t="s">
        <v>563</v>
      </c>
    </row>
    <row r="254" spans="1:10" x14ac:dyDescent="0.15">
      <c r="A254" t="s">
        <v>484</v>
      </c>
      <c r="B254" t="s">
        <v>564</v>
      </c>
      <c r="D254" t="s">
        <v>10</v>
      </c>
      <c r="E254" s="2" t="str">
        <f>VLOOKUP(J254,Sheet1!C:H,5,0)</f>
        <v>未清关</v>
      </c>
      <c r="F254" s="2"/>
      <c r="G254" t="s">
        <v>15</v>
      </c>
      <c r="H254" t="s">
        <v>497</v>
      </c>
      <c r="J254" t="s">
        <v>565</v>
      </c>
    </row>
    <row r="255" spans="1:10" x14ac:dyDescent="0.15">
      <c r="A255" t="s">
        <v>484</v>
      </c>
      <c r="B255" t="s">
        <v>566</v>
      </c>
      <c r="D255" t="s">
        <v>10</v>
      </c>
      <c r="E255" s="2" t="str">
        <f>VLOOKUP(J255,Sheet1!C:H,5,0)</f>
        <v>未清关</v>
      </c>
      <c r="F255" s="2"/>
      <c r="G255" t="s">
        <v>15</v>
      </c>
      <c r="H255" t="s">
        <v>500</v>
      </c>
      <c r="J255" t="s">
        <v>567</v>
      </c>
    </row>
    <row r="256" spans="1:10" x14ac:dyDescent="0.15">
      <c r="A256" t="s">
        <v>484</v>
      </c>
      <c r="B256" t="s">
        <v>568</v>
      </c>
      <c r="D256" t="s">
        <v>10</v>
      </c>
      <c r="E256" s="2" t="str">
        <f>VLOOKUP(J256,Sheet1!C:H,5,0)</f>
        <v>未清关</v>
      </c>
      <c r="F256" s="2"/>
      <c r="G256" t="s">
        <v>125</v>
      </c>
      <c r="H256" t="s">
        <v>503</v>
      </c>
      <c r="J256" t="s">
        <v>569</v>
      </c>
    </row>
    <row r="257" spans="1:10" x14ac:dyDescent="0.15">
      <c r="A257" t="s">
        <v>484</v>
      </c>
      <c r="B257" t="s">
        <v>570</v>
      </c>
      <c r="D257" t="s">
        <v>10</v>
      </c>
      <c r="E257" s="2" t="str">
        <f>VLOOKUP(J257,Sheet1!C:H,5,0)</f>
        <v>未清关</v>
      </c>
      <c r="F257" s="2"/>
      <c r="G257" t="s">
        <v>125</v>
      </c>
      <c r="H257" t="s">
        <v>503</v>
      </c>
      <c r="J257" t="s">
        <v>571</v>
      </c>
    </row>
    <row r="258" spans="1:10" x14ac:dyDescent="0.15">
      <c r="A258" t="s">
        <v>484</v>
      </c>
      <c r="B258" t="s">
        <v>572</v>
      </c>
      <c r="D258" t="s">
        <v>10</v>
      </c>
      <c r="E258" s="2" t="str">
        <f>VLOOKUP(J258,Sheet1!C:H,5,0)</f>
        <v>未清关</v>
      </c>
      <c r="F258" s="2"/>
      <c r="G258" t="s">
        <v>125</v>
      </c>
      <c r="H258" t="s">
        <v>492</v>
      </c>
      <c r="J258" t="s">
        <v>573</v>
      </c>
    </row>
    <row r="259" spans="1:10" x14ac:dyDescent="0.15">
      <c r="A259" t="s">
        <v>484</v>
      </c>
      <c r="B259" t="s">
        <v>574</v>
      </c>
      <c r="D259" t="s">
        <v>10</v>
      </c>
      <c r="E259" s="2" t="str">
        <f>VLOOKUP(J259,Sheet1!C:H,5,0)</f>
        <v>未清关</v>
      </c>
      <c r="F259" s="2"/>
      <c r="G259" t="s">
        <v>19</v>
      </c>
      <c r="H259" t="s">
        <v>530</v>
      </c>
      <c r="J259" t="s">
        <v>575</v>
      </c>
    </row>
    <row r="260" spans="1:10" x14ac:dyDescent="0.15">
      <c r="A260" t="s">
        <v>484</v>
      </c>
      <c r="B260" t="s">
        <v>576</v>
      </c>
      <c r="D260" t="s">
        <v>10</v>
      </c>
      <c r="E260" s="2" t="str">
        <f>VLOOKUP(J260,Sheet1!C:H,5,0)</f>
        <v>未清关</v>
      </c>
      <c r="F260" s="2"/>
      <c r="G260" t="s">
        <v>11</v>
      </c>
      <c r="H260" t="s">
        <v>545</v>
      </c>
      <c r="J260" t="s">
        <v>577</v>
      </c>
    </row>
    <row r="261" spans="1:10" x14ac:dyDescent="0.15">
      <c r="A261" t="s">
        <v>484</v>
      </c>
      <c r="B261" t="s">
        <v>578</v>
      </c>
      <c r="D261" t="s">
        <v>10</v>
      </c>
      <c r="E261" s="2" t="str">
        <f>VLOOKUP(J261,Sheet1!C:H,5,0)</f>
        <v>未清关</v>
      </c>
      <c r="F261" s="2"/>
      <c r="G261" t="s">
        <v>15</v>
      </c>
      <c r="H261" t="s">
        <v>492</v>
      </c>
      <c r="J261" t="s">
        <v>579</v>
      </c>
    </row>
    <row r="262" spans="1:10" x14ac:dyDescent="0.15">
      <c r="A262" t="s">
        <v>484</v>
      </c>
      <c r="B262" t="s">
        <v>580</v>
      </c>
      <c r="D262" t="s">
        <v>10</v>
      </c>
      <c r="E262" s="2" t="str">
        <f>VLOOKUP(J262,Sheet1!C:H,5,0)</f>
        <v>未清关</v>
      </c>
      <c r="F262" s="2"/>
      <c r="G262" t="s">
        <v>125</v>
      </c>
      <c r="H262" t="s">
        <v>503</v>
      </c>
      <c r="J262" t="s">
        <v>581</v>
      </c>
    </row>
    <row r="263" spans="1:10" x14ac:dyDescent="0.15">
      <c r="A263" t="s">
        <v>484</v>
      </c>
      <c r="B263" t="s">
        <v>582</v>
      </c>
      <c r="D263" t="s">
        <v>10</v>
      </c>
      <c r="E263" s="2" t="str">
        <f>VLOOKUP(J263,Sheet1!C:H,5,0)</f>
        <v>未清关</v>
      </c>
      <c r="F263" s="2"/>
      <c r="G263" t="s">
        <v>15</v>
      </c>
      <c r="H263" t="s">
        <v>497</v>
      </c>
      <c r="J263" t="s">
        <v>583</v>
      </c>
    </row>
    <row r="264" spans="1:10" x14ac:dyDescent="0.15">
      <c r="A264" t="s">
        <v>484</v>
      </c>
      <c r="B264" t="s">
        <v>584</v>
      </c>
      <c r="D264" t="s">
        <v>10</v>
      </c>
      <c r="E264" s="2" t="str">
        <f>VLOOKUP(J264,Sheet1!C:H,5,0)</f>
        <v>未清关</v>
      </c>
      <c r="F264" s="2"/>
      <c r="G264" t="s">
        <v>125</v>
      </c>
      <c r="H264" t="s">
        <v>486</v>
      </c>
      <c r="J264" t="s">
        <v>585</v>
      </c>
    </row>
    <row r="265" spans="1:10" x14ac:dyDescent="0.15">
      <c r="A265" t="s">
        <v>484</v>
      </c>
      <c r="B265" t="s">
        <v>586</v>
      </c>
      <c r="D265" t="s">
        <v>10</v>
      </c>
      <c r="E265" s="2" t="str">
        <f>VLOOKUP(J265,Sheet1!C:H,5,0)</f>
        <v>未清关</v>
      </c>
      <c r="F265" s="2"/>
      <c r="G265" t="s">
        <v>15</v>
      </c>
      <c r="H265" t="s">
        <v>492</v>
      </c>
      <c r="J265" t="s">
        <v>587</v>
      </c>
    </row>
    <row r="266" spans="1:10" x14ac:dyDescent="0.15">
      <c r="A266" t="s">
        <v>484</v>
      </c>
      <c r="B266" t="s">
        <v>588</v>
      </c>
      <c r="D266" t="s">
        <v>10</v>
      </c>
      <c r="E266" s="2" t="str">
        <f>VLOOKUP(J266,Sheet1!C:H,5,0)</f>
        <v>未清关</v>
      </c>
      <c r="F266" s="2"/>
      <c r="G266" t="s">
        <v>15</v>
      </c>
      <c r="H266" t="s">
        <v>500</v>
      </c>
      <c r="J266" t="s">
        <v>589</v>
      </c>
    </row>
    <row r="267" spans="1:10" s="2" customFormat="1" hidden="1" x14ac:dyDescent="0.15">
      <c r="A267" s="2" t="s">
        <v>590</v>
      </c>
      <c r="B267" s="2" t="s">
        <v>591</v>
      </c>
      <c r="D267" s="2" t="s">
        <v>592</v>
      </c>
      <c r="E267" s="2" t="str">
        <f>VLOOKUP(J267,Sheet1!C:H,5,0)</f>
        <v>未清关</v>
      </c>
      <c r="G267" s="2" t="s">
        <v>19</v>
      </c>
      <c r="H267" s="2" t="s">
        <v>593</v>
      </c>
      <c r="J267" s="2" t="s">
        <v>594</v>
      </c>
    </row>
    <row r="268" spans="1:10" hidden="1" x14ac:dyDescent="0.15">
      <c r="A268" t="s">
        <v>590</v>
      </c>
      <c r="B268" t="s">
        <v>595</v>
      </c>
      <c r="D268" t="s">
        <v>592</v>
      </c>
      <c r="E268" s="2" t="str">
        <f>VLOOKUP(J268,Sheet1!C:H,5,0)</f>
        <v>未清关</v>
      </c>
      <c r="F268" s="2"/>
      <c r="G268" t="s">
        <v>125</v>
      </c>
      <c r="H268" t="s">
        <v>489</v>
      </c>
      <c r="J268" t="s">
        <v>596</v>
      </c>
    </row>
    <row r="269" spans="1:10" hidden="1" x14ac:dyDescent="0.15">
      <c r="A269" t="s">
        <v>590</v>
      </c>
      <c r="B269" t="s">
        <v>597</v>
      </c>
      <c r="D269" t="s">
        <v>592</v>
      </c>
      <c r="E269" s="2" t="str">
        <f>VLOOKUP(J269,Sheet1!C:H,5,0)</f>
        <v>未清关</v>
      </c>
      <c r="F269" s="2"/>
      <c r="G269" t="s">
        <v>125</v>
      </c>
      <c r="H269" t="s">
        <v>489</v>
      </c>
      <c r="J269" t="s">
        <v>598</v>
      </c>
    </row>
    <row r="270" spans="1:10" hidden="1" x14ac:dyDescent="0.15">
      <c r="A270" t="s">
        <v>590</v>
      </c>
      <c r="B270" t="s">
        <v>599</v>
      </c>
      <c r="D270" t="s">
        <v>592</v>
      </c>
      <c r="E270" s="2" t="str">
        <f>VLOOKUP(J270,Sheet1!C:H,5,0)</f>
        <v>未清关</v>
      </c>
      <c r="F270" s="2"/>
      <c r="G270" t="s">
        <v>11</v>
      </c>
      <c r="H270" t="s">
        <v>600</v>
      </c>
      <c r="J270" t="s">
        <v>601</v>
      </c>
    </row>
    <row r="271" spans="1:10" hidden="1" x14ac:dyDescent="0.15">
      <c r="A271" t="s">
        <v>590</v>
      </c>
      <c r="B271" t="s">
        <v>602</v>
      </c>
      <c r="D271" t="s">
        <v>592</v>
      </c>
      <c r="E271" s="2" t="str">
        <f>VLOOKUP(J271,Sheet1!C:H,5,0)</f>
        <v>未清关</v>
      </c>
      <c r="F271" s="2"/>
      <c r="G271" t="s">
        <v>15</v>
      </c>
      <c r="H271" t="s">
        <v>515</v>
      </c>
      <c r="J271" t="s">
        <v>603</v>
      </c>
    </row>
    <row r="272" spans="1:10" hidden="1" x14ac:dyDescent="0.15">
      <c r="A272" t="s">
        <v>590</v>
      </c>
      <c r="B272" t="s">
        <v>604</v>
      </c>
      <c r="D272" t="s">
        <v>592</v>
      </c>
      <c r="E272" s="2" t="str">
        <f>VLOOKUP(J272,Sheet1!C:H,5,0)</f>
        <v>未清关</v>
      </c>
      <c r="F272" s="2"/>
      <c r="G272" t="s">
        <v>11</v>
      </c>
      <c r="H272" t="s">
        <v>600</v>
      </c>
      <c r="J272" t="s">
        <v>605</v>
      </c>
    </row>
    <row r="273" spans="1:10" hidden="1" x14ac:dyDescent="0.15">
      <c r="A273" t="s">
        <v>590</v>
      </c>
      <c r="B273" t="s">
        <v>606</v>
      </c>
      <c r="D273" t="s">
        <v>592</v>
      </c>
      <c r="E273" s="2" t="str">
        <f>VLOOKUP(J273,Sheet1!C:H,5,0)</f>
        <v>未清关</v>
      </c>
      <c r="F273" s="2"/>
      <c r="G273" t="s">
        <v>125</v>
      </c>
      <c r="H273" t="s">
        <v>91</v>
      </c>
      <c r="J273" t="s">
        <v>607</v>
      </c>
    </row>
    <row r="274" spans="1:10" hidden="1" x14ac:dyDescent="0.15">
      <c r="A274" t="s">
        <v>590</v>
      </c>
      <c r="B274" t="s">
        <v>608</v>
      </c>
      <c r="D274" t="s">
        <v>592</v>
      </c>
      <c r="E274" s="2" t="str">
        <f>VLOOKUP(J274,Sheet1!C:H,5,0)</f>
        <v>未清关</v>
      </c>
      <c r="F274" s="2"/>
      <c r="G274" t="s">
        <v>125</v>
      </c>
      <c r="H274" t="s">
        <v>91</v>
      </c>
      <c r="J274" t="s">
        <v>609</v>
      </c>
    </row>
    <row r="275" spans="1:10" hidden="1" x14ac:dyDescent="0.15">
      <c r="A275" t="s">
        <v>590</v>
      </c>
      <c r="B275" t="s">
        <v>610</v>
      </c>
      <c r="D275" t="s">
        <v>592</v>
      </c>
      <c r="E275" s="2" t="str">
        <f>VLOOKUP(J275,Sheet1!C:H,5,0)</f>
        <v>未清关</v>
      </c>
      <c r="F275" s="2"/>
      <c r="G275" t="s">
        <v>125</v>
      </c>
      <c r="H275" t="s">
        <v>91</v>
      </c>
      <c r="J275" t="s">
        <v>611</v>
      </c>
    </row>
    <row r="276" spans="1:10" hidden="1" x14ac:dyDescent="0.15">
      <c r="A276" t="s">
        <v>590</v>
      </c>
      <c r="B276" t="s">
        <v>612</v>
      </c>
      <c r="D276" t="s">
        <v>592</v>
      </c>
      <c r="E276" s="2" t="str">
        <f>VLOOKUP(J276,Sheet1!C:H,5,0)</f>
        <v>未清关</v>
      </c>
      <c r="F276" s="2"/>
      <c r="G276" t="s">
        <v>125</v>
      </c>
      <c r="H276" t="s">
        <v>91</v>
      </c>
      <c r="J276" t="s">
        <v>613</v>
      </c>
    </row>
    <row r="277" spans="1:10" hidden="1" x14ac:dyDescent="0.15">
      <c r="A277" t="s">
        <v>590</v>
      </c>
      <c r="B277" t="s">
        <v>614</v>
      </c>
      <c r="D277" t="s">
        <v>592</v>
      </c>
      <c r="E277" s="2" t="str">
        <f>VLOOKUP(J277,Sheet1!C:H,5,0)</f>
        <v>未清关</v>
      </c>
      <c r="F277" s="2"/>
      <c r="G277" t="s">
        <v>125</v>
      </c>
      <c r="H277" t="s">
        <v>91</v>
      </c>
      <c r="J277" t="s">
        <v>615</v>
      </c>
    </row>
    <row r="278" spans="1:10" hidden="1" x14ac:dyDescent="0.15">
      <c r="A278" t="s">
        <v>590</v>
      </c>
      <c r="B278" t="s">
        <v>616</v>
      </c>
      <c r="D278" t="s">
        <v>592</v>
      </c>
      <c r="E278" s="2" t="str">
        <f>VLOOKUP(J278,Sheet1!C:H,5,0)</f>
        <v>未清关</v>
      </c>
      <c r="F278" s="2"/>
      <c r="G278" t="s">
        <v>125</v>
      </c>
      <c r="H278" t="s">
        <v>91</v>
      </c>
      <c r="J278" t="s">
        <v>617</v>
      </c>
    </row>
    <row r="279" spans="1:10" hidden="1" x14ac:dyDescent="0.15">
      <c r="A279" t="s">
        <v>590</v>
      </c>
      <c r="B279" t="s">
        <v>618</v>
      </c>
      <c r="D279" t="s">
        <v>592</v>
      </c>
      <c r="E279" s="2" t="str">
        <f>VLOOKUP(J279,Sheet1!C:H,5,0)</f>
        <v>未清关</v>
      </c>
      <c r="F279" s="2"/>
      <c r="G279" t="s">
        <v>15</v>
      </c>
      <c r="H279" t="s">
        <v>515</v>
      </c>
      <c r="J279" t="s">
        <v>619</v>
      </c>
    </row>
    <row r="280" spans="1:10" hidden="1" x14ac:dyDescent="0.15">
      <c r="A280" t="s">
        <v>590</v>
      </c>
      <c r="B280" t="s">
        <v>620</v>
      </c>
      <c r="D280" t="s">
        <v>592</v>
      </c>
      <c r="E280" s="2" t="str">
        <f>VLOOKUP(J280,Sheet1!C:H,5,0)</f>
        <v>未清关</v>
      </c>
      <c r="F280" s="2"/>
      <c r="G280" t="s">
        <v>15</v>
      </c>
      <c r="H280" t="s">
        <v>515</v>
      </c>
      <c r="J280" t="s">
        <v>621</v>
      </c>
    </row>
    <row r="281" spans="1:10" hidden="1" x14ac:dyDescent="0.15">
      <c r="A281" t="s">
        <v>590</v>
      </c>
      <c r="B281" t="s">
        <v>622</v>
      </c>
      <c r="D281" t="s">
        <v>592</v>
      </c>
      <c r="E281" s="2" t="str">
        <f>VLOOKUP(J281,Sheet1!C:H,5,0)</f>
        <v>未清关</v>
      </c>
      <c r="F281" s="2"/>
      <c r="G281" t="s">
        <v>125</v>
      </c>
      <c r="H281" t="s">
        <v>91</v>
      </c>
      <c r="J281" t="s">
        <v>623</v>
      </c>
    </row>
    <row r="282" spans="1:10" hidden="1" x14ac:dyDescent="0.15">
      <c r="A282" t="s">
        <v>590</v>
      </c>
      <c r="B282" t="s">
        <v>624</v>
      </c>
      <c r="D282" t="s">
        <v>592</v>
      </c>
      <c r="E282" s="2" t="str">
        <f>VLOOKUP(J282,Sheet1!C:H,5,0)</f>
        <v>未清关</v>
      </c>
      <c r="F282" s="2"/>
      <c r="G282" t="s">
        <v>15</v>
      </c>
      <c r="H282" t="s">
        <v>515</v>
      </c>
      <c r="J282" t="s">
        <v>625</v>
      </c>
    </row>
    <row r="283" spans="1:10" hidden="1" x14ac:dyDescent="0.15">
      <c r="A283" t="s">
        <v>590</v>
      </c>
      <c r="B283" t="s">
        <v>626</v>
      </c>
      <c r="D283" t="s">
        <v>592</v>
      </c>
      <c r="E283" s="2" t="str">
        <f>VLOOKUP(J283,Sheet1!C:H,5,0)</f>
        <v>未清关</v>
      </c>
      <c r="F283" s="2"/>
      <c r="G283" t="s">
        <v>11</v>
      </c>
      <c r="H283" t="s">
        <v>489</v>
      </c>
      <c r="J283" t="s">
        <v>627</v>
      </c>
    </row>
    <row r="284" spans="1:10" hidden="1" x14ac:dyDescent="0.15">
      <c r="A284" t="s">
        <v>590</v>
      </c>
      <c r="B284" t="s">
        <v>628</v>
      </c>
      <c r="D284" t="s">
        <v>592</v>
      </c>
      <c r="E284" s="2" t="str">
        <f>VLOOKUP(J284,Sheet1!C:H,5,0)</f>
        <v>未清关</v>
      </c>
      <c r="F284" s="2"/>
      <c r="G284" t="s">
        <v>125</v>
      </c>
      <c r="H284" t="s">
        <v>489</v>
      </c>
      <c r="J284" t="s">
        <v>629</v>
      </c>
    </row>
    <row r="285" spans="1:10" hidden="1" x14ac:dyDescent="0.15">
      <c r="A285" t="s">
        <v>590</v>
      </c>
      <c r="B285" t="s">
        <v>630</v>
      </c>
      <c r="D285" t="s">
        <v>592</v>
      </c>
      <c r="E285" s="2" t="str">
        <f>VLOOKUP(J285,Sheet1!C:H,5,0)</f>
        <v>未清关</v>
      </c>
      <c r="F285" s="2"/>
      <c r="G285" t="s">
        <v>11</v>
      </c>
      <c r="H285" t="s">
        <v>503</v>
      </c>
      <c r="J285" t="s">
        <v>631</v>
      </c>
    </row>
    <row r="286" spans="1:10" hidden="1" x14ac:dyDescent="0.15">
      <c r="A286" t="s">
        <v>590</v>
      </c>
      <c r="B286" t="s">
        <v>632</v>
      </c>
      <c r="D286" t="s">
        <v>592</v>
      </c>
      <c r="E286" s="2" t="str">
        <f>VLOOKUP(J286,Sheet1!C:H,5,0)</f>
        <v>未清关</v>
      </c>
      <c r="F286" s="2"/>
      <c r="G286" t="s">
        <v>11</v>
      </c>
      <c r="H286" t="s">
        <v>503</v>
      </c>
      <c r="J286" t="s">
        <v>633</v>
      </c>
    </row>
    <row r="287" spans="1:10" hidden="1" x14ac:dyDescent="0.15">
      <c r="A287" t="s">
        <v>590</v>
      </c>
      <c r="B287" t="s">
        <v>634</v>
      </c>
      <c r="D287" t="s">
        <v>592</v>
      </c>
      <c r="E287" s="2" t="str">
        <f>VLOOKUP(J287,Sheet1!C:H,5,0)</f>
        <v>未清关</v>
      </c>
      <c r="F287" s="2"/>
      <c r="G287" t="s">
        <v>11</v>
      </c>
      <c r="H287" t="s">
        <v>503</v>
      </c>
      <c r="J287" t="s">
        <v>635</v>
      </c>
    </row>
    <row r="288" spans="1:10" hidden="1" x14ac:dyDescent="0.15">
      <c r="A288" t="s">
        <v>590</v>
      </c>
      <c r="B288" t="s">
        <v>636</v>
      </c>
      <c r="D288" t="s">
        <v>592</v>
      </c>
      <c r="E288" s="2" t="str">
        <f>VLOOKUP(J288,Sheet1!C:H,5,0)</f>
        <v>未清关</v>
      </c>
      <c r="F288" s="2"/>
      <c r="G288" t="s">
        <v>11</v>
      </c>
      <c r="H288" t="s">
        <v>503</v>
      </c>
      <c r="J288" t="s">
        <v>637</v>
      </c>
    </row>
    <row r="289" spans="1:10" hidden="1" x14ac:dyDescent="0.15">
      <c r="A289" t="s">
        <v>590</v>
      </c>
      <c r="B289" t="s">
        <v>638</v>
      </c>
      <c r="D289" t="s">
        <v>592</v>
      </c>
      <c r="E289" s="2" t="str">
        <f>VLOOKUP(J289,Sheet1!C:H,5,0)</f>
        <v>未清关</v>
      </c>
      <c r="F289" s="2"/>
      <c r="G289" t="s">
        <v>11</v>
      </c>
      <c r="H289" t="s">
        <v>503</v>
      </c>
      <c r="J289" t="s">
        <v>639</v>
      </c>
    </row>
    <row r="290" spans="1:10" hidden="1" x14ac:dyDescent="0.15">
      <c r="A290" t="s">
        <v>590</v>
      </c>
      <c r="B290" t="s">
        <v>640</v>
      </c>
      <c r="D290" t="s">
        <v>592</v>
      </c>
      <c r="E290" s="2" t="str">
        <f>VLOOKUP(J290,Sheet1!C:H,5,0)</f>
        <v>未清关</v>
      </c>
      <c r="F290" s="2"/>
      <c r="G290" t="s">
        <v>11</v>
      </c>
      <c r="H290" t="s">
        <v>503</v>
      </c>
      <c r="J290" t="s">
        <v>641</v>
      </c>
    </row>
    <row r="291" spans="1:10" hidden="1" x14ac:dyDescent="0.15">
      <c r="A291" t="s">
        <v>590</v>
      </c>
      <c r="B291" t="s">
        <v>642</v>
      </c>
      <c r="D291" t="s">
        <v>592</v>
      </c>
      <c r="E291" s="2" t="str">
        <f>VLOOKUP(J291,Sheet1!C:H,5,0)</f>
        <v>未清关</v>
      </c>
      <c r="F291" s="2"/>
      <c r="G291" t="s">
        <v>11</v>
      </c>
      <c r="H291" t="s">
        <v>503</v>
      </c>
      <c r="J291" t="s">
        <v>643</v>
      </c>
    </row>
    <row r="292" spans="1:10" hidden="1" x14ac:dyDescent="0.15">
      <c r="A292" t="s">
        <v>590</v>
      </c>
      <c r="B292" t="s">
        <v>644</v>
      </c>
      <c r="D292" t="s">
        <v>592</v>
      </c>
      <c r="E292" s="2" t="str">
        <f>VLOOKUP(J292,Sheet1!C:H,5,0)</f>
        <v>未清关</v>
      </c>
      <c r="F292" s="2"/>
      <c r="G292" t="s">
        <v>11</v>
      </c>
      <c r="H292" t="s">
        <v>600</v>
      </c>
      <c r="J292" t="s">
        <v>645</v>
      </c>
    </row>
    <row r="293" spans="1:10" hidden="1" x14ac:dyDescent="0.15">
      <c r="A293" t="s">
        <v>590</v>
      </c>
      <c r="B293" t="s">
        <v>646</v>
      </c>
      <c r="D293" t="s">
        <v>592</v>
      </c>
      <c r="E293" s="2" t="str">
        <f>VLOOKUP(J293,Sheet1!C:H,5,0)</f>
        <v>未清关</v>
      </c>
      <c r="F293" s="2"/>
      <c r="G293" t="s">
        <v>125</v>
      </c>
      <c r="H293" t="s">
        <v>489</v>
      </c>
      <c r="J293" t="s">
        <v>647</v>
      </c>
    </row>
    <row r="294" spans="1:10" hidden="1" x14ac:dyDescent="0.15">
      <c r="A294" t="s">
        <v>590</v>
      </c>
      <c r="B294" t="s">
        <v>648</v>
      </c>
      <c r="D294" t="s">
        <v>592</v>
      </c>
      <c r="E294" s="2" t="str">
        <f>VLOOKUP(J294,Sheet1!C:H,5,0)</f>
        <v>未清关</v>
      </c>
      <c r="F294" s="2"/>
      <c r="G294" t="s">
        <v>125</v>
      </c>
      <c r="H294" t="s">
        <v>489</v>
      </c>
      <c r="J294" t="s">
        <v>649</v>
      </c>
    </row>
    <row r="295" spans="1:10" hidden="1" x14ac:dyDescent="0.15">
      <c r="A295" t="s">
        <v>590</v>
      </c>
      <c r="B295" t="s">
        <v>650</v>
      </c>
      <c r="D295" t="s">
        <v>592</v>
      </c>
      <c r="E295" s="2" t="str">
        <f>VLOOKUP(J295,Sheet1!C:H,5,0)</f>
        <v>未清关</v>
      </c>
      <c r="F295" s="2"/>
      <c r="G295" t="s">
        <v>125</v>
      </c>
      <c r="H295" t="s">
        <v>489</v>
      </c>
      <c r="J295" t="s">
        <v>651</v>
      </c>
    </row>
    <row r="296" spans="1:10" hidden="1" x14ac:dyDescent="0.15">
      <c r="A296" t="s">
        <v>590</v>
      </c>
      <c r="B296" t="s">
        <v>652</v>
      </c>
      <c r="D296" t="s">
        <v>592</v>
      </c>
      <c r="E296" s="2" t="str">
        <f>VLOOKUP(J296,Sheet1!C:H,5,0)</f>
        <v>未清关</v>
      </c>
      <c r="F296" s="2"/>
      <c r="G296" t="s">
        <v>125</v>
      </c>
      <c r="H296" t="s">
        <v>593</v>
      </c>
      <c r="J296" t="s">
        <v>653</v>
      </c>
    </row>
    <row r="297" spans="1:10" hidden="1" x14ac:dyDescent="0.15">
      <c r="A297" t="s">
        <v>590</v>
      </c>
      <c r="B297" t="s">
        <v>654</v>
      </c>
      <c r="D297" t="s">
        <v>592</v>
      </c>
      <c r="E297" s="2" t="str">
        <f>VLOOKUP(J297,Sheet1!C:H,5,0)</f>
        <v>未清关</v>
      </c>
      <c r="F297" s="2"/>
      <c r="G297" t="s">
        <v>125</v>
      </c>
      <c r="H297" t="s">
        <v>489</v>
      </c>
      <c r="J297" t="s">
        <v>655</v>
      </c>
    </row>
    <row r="298" spans="1:10" hidden="1" x14ac:dyDescent="0.15">
      <c r="A298" t="s">
        <v>590</v>
      </c>
      <c r="B298" t="s">
        <v>656</v>
      </c>
      <c r="D298" t="s">
        <v>592</v>
      </c>
      <c r="E298" s="2" t="str">
        <f>VLOOKUP(J298,Sheet1!C:H,5,0)</f>
        <v>未清关</v>
      </c>
      <c r="F298" s="2"/>
      <c r="G298" t="s">
        <v>11</v>
      </c>
      <c r="H298" t="s">
        <v>503</v>
      </c>
      <c r="J298" t="s">
        <v>657</v>
      </c>
    </row>
    <row r="299" spans="1:10" hidden="1" x14ac:dyDescent="0.15">
      <c r="A299" t="s">
        <v>590</v>
      </c>
      <c r="B299" t="s">
        <v>658</v>
      </c>
      <c r="D299" t="s">
        <v>592</v>
      </c>
      <c r="E299" s="2" t="str">
        <f>VLOOKUP(J299,Sheet1!C:H,5,0)</f>
        <v>未清关</v>
      </c>
      <c r="F299" s="2"/>
      <c r="G299" t="s">
        <v>11</v>
      </c>
      <c r="H299" t="s">
        <v>600</v>
      </c>
      <c r="J299" t="s">
        <v>659</v>
      </c>
    </row>
    <row r="300" spans="1:10" hidden="1" x14ac:dyDescent="0.15">
      <c r="A300" t="s">
        <v>590</v>
      </c>
      <c r="B300" t="s">
        <v>660</v>
      </c>
      <c r="D300" t="s">
        <v>592</v>
      </c>
      <c r="E300" s="2" t="str">
        <f>VLOOKUP(J300,Sheet1!C:H,5,0)</f>
        <v>未清关</v>
      </c>
      <c r="F300" s="2"/>
      <c r="G300" t="s">
        <v>125</v>
      </c>
      <c r="H300" t="s">
        <v>91</v>
      </c>
      <c r="J300" t="s">
        <v>661</v>
      </c>
    </row>
    <row r="301" spans="1:10" hidden="1" x14ac:dyDescent="0.15">
      <c r="A301" t="s">
        <v>590</v>
      </c>
      <c r="B301" t="s">
        <v>662</v>
      </c>
      <c r="D301" t="s">
        <v>592</v>
      </c>
      <c r="E301" s="2" t="str">
        <f>VLOOKUP(J301,Sheet1!C:H,5,0)</f>
        <v>未清关</v>
      </c>
      <c r="F301" s="2"/>
      <c r="G301" t="s">
        <v>15</v>
      </c>
      <c r="H301" t="s">
        <v>515</v>
      </c>
      <c r="J301" t="s">
        <v>663</v>
      </c>
    </row>
    <row r="302" spans="1:10" hidden="1" x14ac:dyDescent="0.15">
      <c r="A302" t="s">
        <v>590</v>
      </c>
      <c r="B302" t="s">
        <v>664</v>
      </c>
      <c r="D302" t="s">
        <v>592</v>
      </c>
      <c r="E302" s="2" t="str">
        <f>VLOOKUP(J302,Sheet1!C:H,5,0)</f>
        <v>未清关</v>
      </c>
      <c r="F302" s="2"/>
      <c r="G302" t="s">
        <v>11</v>
      </c>
      <c r="H302" t="s">
        <v>600</v>
      </c>
      <c r="J302" t="s">
        <v>665</v>
      </c>
    </row>
    <row r="303" spans="1:10" hidden="1" x14ac:dyDescent="0.15">
      <c r="A303" t="s">
        <v>590</v>
      </c>
      <c r="B303" t="s">
        <v>666</v>
      </c>
      <c r="D303" t="s">
        <v>592</v>
      </c>
      <c r="E303" s="2" t="str">
        <f>VLOOKUP(J303,Sheet1!C:H,5,0)</f>
        <v>未清关</v>
      </c>
      <c r="F303" s="2"/>
      <c r="G303" t="s">
        <v>125</v>
      </c>
      <c r="H303" t="s">
        <v>91</v>
      </c>
      <c r="J303" t="s">
        <v>667</v>
      </c>
    </row>
    <row r="304" spans="1:10" hidden="1" x14ac:dyDescent="0.15">
      <c r="A304" t="s">
        <v>590</v>
      </c>
      <c r="B304" t="s">
        <v>668</v>
      </c>
      <c r="D304" t="s">
        <v>592</v>
      </c>
      <c r="E304" s="2" t="str">
        <f>VLOOKUP(J304,Sheet1!C:H,5,0)</f>
        <v>未清关</v>
      </c>
      <c r="F304" s="2"/>
      <c r="G304" t="s">
        <v>11</v>
      </c>
      <c r="H304" t="s">
        <v>503</v>
      </c>
      <c r="J304" t="s">
        <v>669</v>
      </c>
    </row>
    <row r="305" spans="1:10" hidden="1" x14ac:dyDescent="0.15">
      <c r="A305" t="s">
        <v>590</v>
      </c>
      <c r="B305" t="s">
        <v>670</v>
      </c>
      <c r="D305" t="s">
        <v>592</v>
      </c>
      <c r="E305" s="2" t="str">
        <f>VLOOKUP(J305,Sheet1!C:H,5,0)</f>
        <v>未清关</v>
      </c>
      <c r="F305" s="2"/>
      <c r="G305" t="s">
        <v>19</v>
      </c>
      <c r="H305" t="s">
        <v>593</v>
      </c>
      <c r="J305" t="s">
        <v>671</v>
      </c>
    </row>
    <row r="306" spans="1:10" hidden="1" x14ac:dyDescent="0.15">
      <c r="A306" t="s">
        <v>590</v>
      </c>
      <c r="B306" t="s">
        <v>672</v>
      </c>
      <c r="D306" t="s">
        <v>592</v>
      </c>
      <c r="E306" s="2" t="str">
        <f>VLOOKUP(J306,Sheet1!C:H,5,0)</f>
        <v>未清关</v>
      </c>
      <c r="F306" s="2"/>
      <c r="G306" t="s">
        <v>15</v>
      </c>
      <c r="H306" t="s">
        <v>515</v>
      </c>
      <c r="J306" t="s">
        <v>673</v>
      </c>
    </row>
    <row r="307" spans="1:10" hidden="1" x14ac:dyDescent="0.15">
      <c r="A307" t="s">
        <v>590</v>
      </c>
      <c r="B307" t="s">
        <v>674</v>
      </c>
      <c r="D307" t="s">
        <v>592</v>
      </c>
      <c r="E307" s="2" t="str">
        <f>VLOOKUP(J307,Sheet1!C:H,5,0)</f>
        <v>未清关</v>
      </c>
      <c r="F307" s="2"/>
      <c r="G307" t="s">
        <v>125</v>
      </c>
      <c r="H307" t="s">
        <v>489</v>
      </c>
      <c r="J307" t="s">
        <v>675</v>
      </c>
    </row>
    <row r="308" spans="1:10" hidden="1" x14ac:dyDescent="0.15">
      <c r="A308" t="s">
        <v>590</v>
      </c>
      <c r="B308" t="s">
        <v>676</v>
      </c>
      <c r="D308" t="s">
        <v>592</v>
      </c>
      <c r="E308" s="2" t="str">
        <f>VLOOKUP(J308,Sheet1!C:H,5,0)</f>
        <v>未清关</v>
      </c>
      <c r="F308" s="2"/>
      <c r="G308" t="s">
        <v>11</v>
      </c>
      <c r="H308" t="s">
        <v>600</v>
      </c>
      <c r="J308" t="s">
        <v>677</v>
      </c>
    </row>
    <row r="309" spans="1:10" s="2" customFormat="1" hidden="1" x14ac:dyDescent="0.15">
      <c r="A309" s="2" t="s">
        <v>678</v>
      </c>
      <c r="B309" s="2" t="s">
        <v>679</v>
      </c>
      <c r="D309" s="2" t="s">
        <v>592</v>
      </c>
      <c r="E309" s="2" t="str">
        <f>VLOOKUP(J309,Sheet1!C:H,5,0)</f>
        <v>未清关</v>
      </c>
      <c r="G309" s="2" t="s">
        <v>11</v>
      </c>
      <c r="H309" s="2" t="s">
        <v>680</v>
      </c>
      <c r="J309" s="2" t="s">
        <v>681</v>
      </c>
    </row>
    <row r="310" spans="1:10" hidden="1" x14ac:dyDescent="0.15">
      <c r="A310" t="s">
        <v>678</v>
      </c>
      <c r="B310" t="s">
        <v>682</v>
      </c>
      <c r="D310" t="s">
        <v>592</v>
      </c>
      <c r="E310" s="2" t="str">
        <f>VLOOKUP(J310,Sheet1!C:H,5,0)</f>
        <v>未清关</v>
      </c>
      <c r="F310" s="2"/>
      <c r="G310" t="s">
        <v>125</v>
      </c>
      <c r="H310" t="s">
        <v>503</v>
      </c>
      <c r="J310" t="s">
        <v>683</v>
      </c>
    </row>
    <row r="311" spans="1:10" hidden="1" x14ac:dyDescent="0.15">
      <c r="A311" t="s">
        <v>678</v>
      </c>
      <c r="B311" t="s">
        <v>684</v>
      </c>
      <c r="D311" t="s">
        <v>592</v>
      </c>
      <c r="E311" s="2" t="str">
        <f>VLOOKUP(J311,Sheet1!C:H,5,0)</f>
        <v>未清关</v>
      </c>
      <c r="F311" s="2"/>
      <c r="G311" t="s">
        <v>15</v>
      </c>
      <c r="H311" t="s">
        <v>685</v>
      </c>
      <c r="J311" t="s">
        <v>686</v>
      </c>
    </row>
    <row r="312" spans="1:10" hidden="1" x14ac:dyDescent="0.15">
      <c r="A312" t="s">
        <v>678</v>
      </c>
      <c r="B312" t="s">
        <v>687</v>
      </c>
      <c r="D312" t="s">
        <v>592</v>
      </c>
      <c r="E312" s="2" t="str">
        <f>VLOOKUP(J312,Sheet1!C:H,5,0)</f>
        <v>未清关</v>
      </c>
      <c r="F312" s="2"/>
      <c r="G312" t="s">
        <v>15</v>
      </c>
      <c r="H312" t="s">
        <v>685</v>
      </c>
      <c r="J312" t="s">
        <v>688</v>
      </c>
    </row>
    <row r="313" spans="1:10" hidden="1" x14ac:dyDescent="0.15">
      <c r="A313" t="s">
        <v>678</v>
      </c>
      <c r="B313" t="s">
        <v>689</v>
      </c>
      <c r="D313" t="s">
        <v>592</v>
      </c>
      <c r="E313" s="2" t="str">
        <f>VLOOKUP(J313,Sheet1!C:H,5,0)</f>
        <v>未清关</v>
      </c>
      <c r="F313" s="2"/>
      <c r="G313" t="s">
        <v>11</v>
      </c>
      <c r="H313" t="s">
        <v>680</v>
      </c>
      <c r="J313" t="s">
        <v>690</v>
      </c>
    </row>
    <row r="314" spans="1:10" hidden="1" x14ac:dyDescent="0.15">
      <c r="A314" t="s">
        <v>678</v>
      </c>
      <c r="B314" t="s">
        <v>691</v>
      </c>
      <c r="D314" t="s">
        <v>592</v>
      </c>
      <c r="E314" s="2" t="str">
        <f>VLOOKUP(J314,Sheet1!C:H,5,0)</f>
        <v>未清关</v>
      </c>
      <c r="F314" s="2"/>
      <c r="G314" t="s">
        <v>15</v>
      </c>
      <c r="H314" t="s">
        <v>545</v>
      </c>
      <c r="J314" t="s">
        <v>692</v>
      </c>
    </row>
    <row r="315" spans="1:10" hidden="1" x14ac:dyDescent="0.15">
      <c r="A315" t="s">
        <v>678</v>
      </c>
      <c r="B315" t="s">
        <v>693</v>
      </c>
      <c r="D315" t="s">
        <v>592</v>
      </c>
      <c r="E315" s="2" t="str">
        <f>VLOOKUP(J315,Sheet1!C:H,5,0)</f>
        <v>未清关</v>
      </c>
      <c r="F315" s="2"/>
      <c r="G315" t="s">
        <v>15</v>
      </c>
      <c r="H315" t="s">
        <v>545</v>
      </c>
      <c r="J315" t="s">
        <v>694</v>
      </c>
    </row>
    <row r="316" spans="1:10" hidden="1" x14ac:dyDescent="0.15">
      <c r="A316" t="s">
        <v>678</v>
      </c>
      <c r="B316" t="s">
        <v>695</v>
      </c>
      <c r="D316" t="s">
        <v>592</v>
      </c>
      <c r="E316" s="2" t="str">
        <f>VLOOKUP(J316,Sheet1!C:H,5,0)</f>
        <v>未清关</v>
      </c>
      <c r="F316" s="2"/>
      <c r="G316" t="s">
        <v>15</v>
      </c>
      <c r="H316" t="s">
        <v>545</v>
      </c>
      <c r="J316" t="s">
        <v>696</v>
      </c>
    </row>
    <row r="317" spans="1:10" hidden="1" x14ac:dyDescent="0.15">
      <c r="A317" t="s">
        <v>678</v>
      </c>
      <c r="B317" t="s">
        <v>697</v>
      </c>
      <c r="D317" t="s">
        <v>592</v>
      </c>
      <c r="E317" s="2" t="str">
        <f>VLOOKUP(J317,Sheet1!C:H,5,0)</f>
        <v>未清关</v>
      </c>
      <c r="F317" s="2"/>
      <c r="G317" t="s">
        <v>15</v>
      </c>
      <c r="H317" t="s">
        <v>492</v>
      </c>
      <c r="J317" t="s">
        <v>698</v>
      </c>
    </row>
    <row r="318" spans="1:10" hidden="1" x14ac:dyDescent="0.15">
      <c r="A318" t="s">
        <v>678</v>
      </c>
      <c r="B318" t="s">
        <v>699</v>
      </c>
      <c r="D318" t="s">
        <v>592</v>
      </c>
      <c r="E318" s="2" t="str">
        <f>VLOOKUP(J318,Sheet1!C:H,5,0)</f>
        <v>未清关</v>
      </c>
      <c r="F318" s="2"/>
      <c r="G318" t="s">
        <v>15</v>
      </c>
      <c r="H318" t="s">
        <v>545</v>
      </c>
      <c r="J318" t="s">
        <v>700</v>
      </c>
    </row>
    <row r="319" spans="1:10" hidden="1" x14ac:dyDescent="0.15">
      <c r="A319" t="s">
        <v>678</v>
      </c>
      <c r="B319" t="s">
        <v>701</v>
      </c>
      <c r="D319" t="s">
        <v>592</v>
      </c>
      <c r="E319" s="2" t="str">
        <f>VLOOKUP(J319,Sheet1!C:H,5,0)</f>
        <v>未清关</v>
      </c>
      <c r="F319" s="2"/>
      <c r="G319" t="s">
        <v>15</v>
      </c>
      <c r="H319" t="s">
        <v>492</v>
      </c>
      <c r="J319" t="s">
        <v>702</v>
      </c>
    </row>
    <row r="320" spans="1:10" hidden="1" x14ac:dyDescent="0.15">
      <c r="A320" t="s">
        <v>678</v>
      </c>
      <c r="B320" t="s">
        <v>703</v>
      </c>
      <c r="D320" t="s">
        <v>592</v>
      </c>
      <c r="E320" s="2" t="str">
        <f>VLOOKUP(J320,Sheet1!C:H,5,0)</f>
        <v>未清关</v>
      </c>
      <c r="F320" s="2"/>
      <c r="G320" t="s">
        <v>15</v>
      </c>
      <c r="H320" t="s">
        <v>545</v>
      </c>
      <c r="J320" t="s">
        <v>704</v>
      </c>
    </row>
    <row r="321" spans="1:10" hidden="1" x14ac:dyDescent="0.15">
      <c r="A321" t="s">
        <v>678</v>
      </c>
      <c r="B321" t="s">
        <v>705</v>
      </c>
      <c r="D321" t="s">
        <v>592</v>
      </c>
      <c r="E321" s="2" t="str">
        <f>VLOOKUP(J321,Sheet1!C:H,5,0)</f>
        <v>未清关</v>
      </c>
      <c r="F321" s="2"/>
      <c r="G321" t="s">
        <v>15</v>
      </c>
      <c r="H321" t="s">
        <v>492</v>
      </c>
      <c r="J321" t="s">
        <v>706</v>
      </c>
    </row>
    <row r="322" spans="1:10" hidden="1" x14ac:dyDescent="0.15">
      <c r="A322" t="s">
        <v>678</v>
      </c>
      <c r="B322" t="s">
        <v>707</v>
      </c>
      <c r="D322" t="s">
        <v>592</v>
      </c>
      <c r="E322" s="2" t="str">
        <f>VLOOKUP(J322,Sheet1!C:H,5,0)</f>
        <v>未清关</v>
      </c>
      <c r="F322" s="2"/>
      <c r="G322" t="s">
        <v>15</v>
      </c>
      <c r="H322" t="s">
        <v>545</v>
      </c>
      <c r="J322" t="s">
        <v>708</v>
      </c>
    </row>
    <row r="323" spans="1:10" hidden="1" x14ac:dyDescent="0.15">
      <c r="A323" t="s">
        <v>678</v>
      </c>
      <c r="B323" t="s">
        <v>709</v>
      </c>
      <c r="D323" t="s">
        <v>592</v>
      </c>
      <c r="E323" s="2" t="str">
        <f>VLOOKUP(J323,Sheet1!C:H,5,0)</f>
        <v>未清关</v>
      </c>
      <c r="F323" s="2"/>
      <c r="G323" t="s">
        <v>15</v>
      </c>
      <c r="H323" t="s">
        <v>545</v>
      </c>
      <c r="J323" t="s">
        <v>710</v>
      </c>
    </row>
    <row r="324" spans="1:10" hidden="1" x14ac:dyDescent="0.15">
      <c r="A324" t="s">
        <v>678</v>
      </c>
      <c r="B324" t="s">
        <v>711</v>
      </c>
      <c r="D324" t="s">
        <v>592</v>
      </c>
      <c r="E324" s="2" t="str">
        <f>VLOOKUP(J324,Sheet1!C:H,5,0)</f>
        <v>未清关</v>
      </c>
      <c r="F324" s="2"/>
      <c r="G324" t="s">
        <v>15</v>
      </c>
      <c r="H324" t="s">
        <v>492</v>
      </c>
      <c r="J324" t="s">
        <v>712</v>
      </c>
    </row>
    <row r="325" spans="1:10" hidden="1" x14ac:dyDescent="0.15">
      <c r="A325" t="s">
        <v>678</v>
      </c>
      <c r="B325" t="s">
        <v>713</v>
      </c>
      <c r="D325" t="s">
        <v>592</v>
      </c>
      <c r="E325" s="2" t="str">
        <f>VLOOKUP(J325,Sheet1!C:H,5,0)</f>
        <v>未清关</v>
      </c>
      <c r="F325" s="2"/>
      <c r="G325" t="s">
        <v>15</v>
      </c>
      <c r="H325" t="s">
        <v>492</v>
      </c>
      <c r="J325" t="s">
        <v>714</v>
      </c>
    </row>
    <row r="326" spans="1:10" hidden="1" x14ac:dyDescent="0.15">
      <c r="A326" t="s">
        <v>678</v>
      </c>
      <c r="B326" t="s">
        <v>715</v>
      </c>
      <c r="D326" t="s">
        <v>592</v>
      </c>
      <c r="E326" s="2" t="str">
        <f>VLOOKUP(J326,Sheet1!C:H,5,0)</f>
        <v>未清关</v>
      </c>
      <c r="F326" s="2"/>
      <c r="G326" t="s">
        <v>15</v>
      </c>
      <c r="H326" t="s">
        <v>545</v>
      </c>
      <c r="J326" t="s">
        <v>716</v>
      </c>
    </row>
    <row r="327" spans="1:10" hidden="1" x14ac:dyDescent="0.15">
      <c r="A327" t="s">
        <v>678</v>
      </c>
      <c r="B327" t="s">
        <v>717</v>
      </c>
      <c r="D327" t="s">
        <v>592</v>
      </c>
      <c r="E327" s="2" t="str">
        <f>VLOOKUP(J327,Sheet1!C:H,5,0)</f>
        <v>未清关</v>
      </c>
      <c r="F327" s="2"/>
      <c r="G327" t="s">
        <v>15</v>
      </c>
      <c r="H327" t="s">
        <v>545</v>
      </c>
      <c r="J327" t="s">
        <v>718</v>
      </c>
    </row>
    <row r="328" spans="1:10" hidden="1" x14ac:dyDescent="0.15">
      <c r="A328" t="s">
        <v>678</v>
      </c>
      <c r="B328" t="s">
        <v>719</v>
      </c>
      <c r="D328" t="s">
        <v>592</v>
      </c>
      <c r="E328" s="2" t="str">
        <f>VLOOKUP(J328,Sheet1!C:H,5,0)</f>
        <v>未清关</v>
      </c>
      <c r="F328" s="2"/>
      <c r="G328" t="s">
        <v>15</v>
      </c>
      <c r="H328" t="s">
        <v>685</v>
      </c>
      <c r="J328" t="s">
        <v>720</v>
      </c>
    </row>
    <row r="329" spans="1:10" hidden="1" x14ac:dyDescent="0.15">
      <c r="A329" t="s">
        <v>678</v>
      </c>
      <c r="B329" t="s">
        <v>721</v>
      </c>
      <c r="D329" t="s">
        <v>592</v>
      </c>
      <c r="E329" s="2" t="str">
        <f>VLOOKUP(J329,Sheet1!C:H,5,0)</f>
        <v>未清关</v>
      </c>
      <c r="F329" s="2"/>
      <c r="G329" t="s">
        <v>15</v>
      </c>
      <c r="H329" t="s">
        <v>530</v>
      </c>
      <c r="J329" t="s">
        <v>722</v>
      </c>
    </row>
    <row r="330" spans="1:10" hidden="1" x14ac:dyDescent="0.15">
      <c r="A330" t="s">
        <v>678</v>
      </c>
      <c r="B330" t="s">
        <v>723</v>
      </c>
      <c r="D330" t="s">
        <v>592</v>
      </c>
      <c r="E330" s="2" t="str">
        <f>VLOOKUP(J330,Sheet1!C:H,5,0)</f>
        <v>未清关</v>
      </c>
      <c r="F330" s="2"/>
      <c r="G330" t="s">
        <v>15</v>
      </c>
      <c r="H330" t="s">
        <v>530</v>
      </c>
      <c r="J330" t="s">
        <v>724</v>
      </c>
    </row>
    <row r="331" spans="1:10" hidden="1" x14ac:dyDescent="0.15">
      <c r="A331" t="s">
        <v>678</v>
      </c>
      <c r="B331" t="s">
        <v>725</v>
      </c>
      <c r="D331" t="s">
        <v>592</v>
      </c>
      <c r="E331" s="2" t="str">
        <f>VLOOKUP(J331,Sheet1!C:H,5,0)</f>
        <v>未清关</v>
      </c>
      <c r="F331" s="2"/>
      <c r="G331" t="s">
        <v>11</v>
      </c>
      <c r="H331" t="s">
        <v>680</v>
      </c>
      <c r="J331" t="s">
        <v>726</v>
      </c>
    </row>
    <row r="332" spans="1:10" hidden="1" x14ac:dyDescent="0.15">
      <c r="A332" t="s">
        <v>678</v>
      </c>
      <c r="B332" t="s">
        <v>727</v>
      </c>
      <c r="D332" t="s">
        <v>592</v>
      </c>
      <c r="E332" s="2" t="str">
        <f>VLOOKUP(J332,Sheet1!C:H,5,0)</f>
        <v>未清关</v>
      </c>
      <c r="F332" s="2"/>
      <c r="G332" t="s">
        <v>11</v>
      </c>
      <c r="H332" t="s">
        <v>680</v>
      </c>
      <c r="J332" t="s">
        <v>728</v>
      </c>
    </row>
    <row r="333" spans="1:10" hidden="1" x14ac:dyDescent="0.15">
      <c r="A333" t="s">
        <v>678</v>
      </c>
      <c r="B333" t="s">
        <v>729</v>
      </c>
      <c r="D333" t="s">
        <v>592</v>
      </c>
      <c r="E333" s="2" t="str">
        <f>VLOOKUP(J333,Sheet1!C:H,5,0)</f>
        <v>未清关</v>
      </c>
      <c r="F333" s="2"/>
      <c r="G333" t="s">
        <v>15</v>
      </c>
      <c r="H333" t="s">
        <v>492</v>
      </c>
      <c r="J333" t="s">
        <v>730</v>
      </c>
    </row>
    <row r="334" spans="1:10" hidden="1" x14ac:dyDescent="0.15">
      <c r="A334" t="s">
        <v>678</v>
      </c>
      <c r="B334" t="s">
        <v>731</v>
      </c>
      <c r="D334" t="s">
        <v>592</v>
      </c>
      <c r="E334" s="2" t="str">
        <f>VLOOKUP(J334,Sheet1!C:H,5,0)</f>
        <v>未清关</v>
      </c>
      <c r="F334" s="2"/>
      <c r="G334" t="s">
        <v>11</v>
      </c>
      <c r="H334" t="s">
        <v>732</v>
      </c>
      <c r="J334" t="s">
        <v>733</v>
      </c>
    </row>
    <row r="335" spans="1:10" hidden="1" x14ac:dyDescent="0.15">
      <c r="A335" t="s">
        <v>678</v>
      </c>
      <c r="B335" t="s">
        <v>734</v>
      </c>
      <c r="D335" t="s">
        <v>592</v>
      </c>
      <c r="E335" s="2" t="str">
        <f>VLOOKUP(J335,Sheet1!C:H,5,0)</f>
        <v>未清关</v>
      </c>
      <c r="F335" s="2"/>
      <c r="G335" t="s">
        <v>11</v>
      </c>
      <c r="H335" t="s">
        <v>732</v>
      </c>
      <c r="J335" t="s">
        <v>735</v>
      </c>
    </row>
    <row r="336" spans="1:10" hidden="1" x14ac:dyDescent="0.15">
      <c r="A336" t="s">
        <v>678</v>
      </c>
      <c r="B336" t="s">
        <v>736</v>
      </c>
      <c r="D336" t="s">
        <v>592</v>
      </c>
      <c r="E336" s="2" t="str">
        <f>VLOOKUP(J336,Sheet1!C:H,5,0)</f>
        <v>未清关</v>
      </c>
      <c r="F336" s="2"/>
      <c r="G336" t="s">
        <v>11</v>
      </c>
      <c r="H336" t="s">
        <v>732</v>
      </c>
      <c r="J336" t="s">
        <v>737</v>
      </c>
    </row>
    <row r="337" spans="1:10" hidden="1" x14ac:dyDescent="0.15">
      <c r="A337" t="s">
        <v>678</v>
      </c>
      <c r="B337" t="s">
        <v>738</v>
      </c>
      <c r="D337" t="s">
        <v>592</v>
      </c>
      <c r="E337" s="2" t="str">
        <f>VLOOKUP(J337,Sheet1!C:H,5,0)</f>
        <v>未清关</v>
      </c>
      <c r="F337" s="2"/>
      <c r="G337" t="s">
        <v>15</v>
      </c>
      <c r="H337" t="s">
        <v>685</v>
      </c>
      <c r="J337" t="s">
        <v>739</v>
      </c>
    </row>
    <row r="338" spans="1:10" hidden="1" x14ac:dyDescent="0.15">
      <c r="A338" t="s">
        <v>678</v>
      </c>
      <c r="B338" t="s">
        <v>740</v>
      </c>
      <c r="D338" t="s">
        <v>592</v>
      </c>
      <c r="E338" s="2" t="str">
        <f>VLOOKUP(J338,Sheet1!C:H,5,0)</f>
        <v>未清关</v>
      </c>
      <c r="F338" s="2"/>
      <c r="G338" t="s">
        <v>15</v>
      </c>
      <c r="H338" t="s">
        <v>685</v>
      </c>
      <c r="J338" t="s">
        <v>741</v>
      </c>
    </row>
    <row r="339" spans="1:10" hidden="1" x14ac:dyDescent="0.15">
      <c r="A339" t="s">
        <v>678</v>
      </c>
      <c r="B339" t="s">
        <v>742</v>
      </c>
      <c r="D339" t="s">
        <v>592</v>
      </c>
      <c r="E339" s="2" t="str">
        <f>VLOOKUP(J339,Sheet1!C:H,5,0)</f>
        <v>未清关</v>
      </c>
      <c r="F339" s="2"/>
      <c r="G339" t="s">
        <v>15</v>
      </c>
      <c r="H339" t="s">
        <v>685</v>
      </c>
      <c r="J339" t="s">
        <v>743</v>
      </c>
    </row>
    <row r="340" spans="1:10" hidden="1" x14ac:dyDescent="0.15">
      <c r="A340" t="s">
        <v>678</v>
      </c>
      <c r="B340" t="s">
        <v>744</v>
      </c>
      <c r="D340" t="s">
        <v>592</v>
      </c>
      <c r="E340" s="2" t="str">
        <f>VLOOKUP(J340,Sheet1!C:H,5,0)</f>
        <v>未清关</v>
      </c>
      <c r="F340" s="2"/>
      <c r="G340" t="s">
        <v>15</v>
      </c>
      <c r="H340" t="s">
        <v>492</v>
      </c>
      <c r="J340" t="s">
        <v>745</v>
      </c>
    </row>
    <row r="341" spans="1:10" hidden="1" x14ac:dyDescent="0.15">
      <c r="A341" t="s">
        <v>678</v>
      </c>
      <c r="B341" t="s">
        <v>746</v>
      </c>
      <c r="D341" t="s">
        <v>592</v>
      </c>
      <c r="E341" s="2" t="str">
        <f>VLOOKUP(J341,Sheet1!C:H,5,0)</f>
        <v>未清关</v>
      </c>
      <c r="F341" s="2"/>
      <c r="G341" t="s">
        <v>11</v>
      </c>
      <c r="H341" t="s">
        <v>680</v>
      </c>
      <c r="J341" t="s">
        <v>747</v>
      </c>
    </row>
    <row r="342" spans="1:10" hidden="1" x14ac:dyDescent="0.15">
      <c r="A342" t="s">
        <v>678</v>
      </c>
      <c r="B342" t="s">
        <v>748</v>
      </c>
      <c r="D342" t="s">
        <v>592</v>
      </c>
      <c r="E342" s="2" t="str">
        <f>VLOOKUP(J342,Sheet1!C:H,5,0)</f>
        <v>未清关</v>
      </c>
      <c r="F342" s="2"/>
      <c r="G342" t="s">
        <v>15</v>
      </c>
      <c r="H342" t="s">
        <v>530</v>
      </c>
      <c r="J342" t="s">
        <v>749</v>
      </c>
    </row>
    <row r="343" spans="1:10" hidden="1" x14ac:dyDescent="0.15">
      <c r="A343" t="s">
        <v>678</v>
      </c>
      <c r="B343" t="s">
        <v>750</v>
      </c>
      <c r="D343" t="s">
        <v>592</v>
      </c>
      <c r="E343" s="2" t="str">
        <f>VLOOKUP(J343,Sheet1!C:H,5,0)</f>
        <v>未清关</v>
      </c>
      <c r="F343" s="2"/>
      <c r="G343" t="s">
        <v>15</v>
      </c>
      <c r="H343" t="s">
        <v>503</v>
      </c>
      <c r="J343" t="s">
        <v>751</v>
      </c>
    </row>
    <row r="344" spans="1:10" hidden="1" x14ac:dyDescent="0.15">
      <c r="A344" t="s">
        <v>678</v>
      </c>
      <c r="B344" t="s">
        <v>752</v>
      </c>
      <c r="D344" t="s">
        <v>592</v>
      </c>
      <c r="E344" s="2" t="str">
        <f>VLOOKUP(J344,Sheet1!C:H,5,0)</f>
        <v>未清关</v>
      </c>
      <c r="F344" s="2"/>
      <c r="G344" t="s">
        <v>15</v>
      </c>
      <c r="H344" t="s">
        <v>503</v>
      </c>
      <c r="J344" t="s">
        <v>753</v>
      </c>
    </row>
    <row r="345" spans="1:10" hidden="1" x14ac:dyDescent="0.15">
      <c r="A345" t="s">
        <v>678</v>
      </c>
      <c r="B345" t="s">
        <v>754</v>
      </c>
      <c r="D345" t="s">
        <v>592</v>
      </c>
      <c r="E345" s="2" t="str">
        <f>VLOOKUP(J345,Sheet1!C:H,5,0)</f>
        <v>未清关</v>
      </c>
      <c r="F345" s="2"/>
      <c r="G345" t="s">
        <v>15</v>
      </c>
      <c r="H345" t="s">
        <v>685</v>
      </c>
      <c r="J345" t="s">
        <v>755</v>
      </c>
    </row>
    <row r="346" spans="1:10" hidden="1" x14ac:dyDescent="0.15">
      <c r="A346" t="s">
        <v>678</v>
      </c>
      <c r="B346" t="s">
        <v>756</v>
      </c>
      <c r="D346" t="s">
        <v>592</v>
      </c>
      <c r="E346" s="2" t="str">
        <f>VLOOKUP(J346,Sheet1!C:H,5,0)</f>
        <v>未清关</v>
      </c>
      <c r="F346" s="2"/>
      <c r="G346" t="s">
        <v>15</v>
      </c>
      <c r="H346" t="s">
        <v>492</v>
      </c>
      <c r="J346" t="s">
        <v>757</v>
      </c>
    </row>
    <row r="347" spans="1:10" hidden="1" x14ac:dyDescent="0.15">
      <c r="A347" t="s">
        <v>678</v>
      </c>
      <c r="B347" t="s">
        <v>758</v>
      </c>
      <c r="D347" t="s">
        <v>592</v>
      </c>
      <c r="E347" s="2" t="str">
        <f>VLOOKUP(J347,Sheet1!C:H,5,0)</f>
        <v>未清关</v>
      </c>
      <c r="F347" s="2"/>
      <c r="G347" t="s">
        <v>11</v>
      </c>
      <c r="H347" t="s">
        <v>759</v>
      </c>
      <c r="J347" t="s">
        <v>760</v>
      </c>
    </row>
    <row r="348" spans="1:10" hidden="1" x14ac:dyDescent="0.15">
      <c r="A348" t="s">
        <v>678</v>
      </c>
      <c r="B348" t="s">
        <v>761</v>
      </c>
      <c r="D348" t="s">
        <v>592</v>
      </c>
      <c r="E348" s="2" t="str">
        <f>VLOOKUP(J348,Sheet1!C:H,5,0)</f>
        <v>未清关</v>
      </c>
      <c r="F348" s="2"/>
      <c r="G348" t="s">
        <v>15</v>
      </c>
      <c r="H348" t="s">
        <v>685</v>
      </c>
      <c r="J348" t="s">
        <v>762</v>
      </c>
    </row>
    <row r="349" spans="1:10" hidden="1" x14ac:dyDescent="0.15">
      <c r="A349" t="s">
        <v>678</v>
      </c>
      <c r="B349" t="s">
        <v>763</v>
      </c>
      <c r="D349" t="s">
        <v>592</v>
      </c>
      <c r="E349" s="2" t="str">
        <f>VLOOKUP(J349,Sheet1!C:H,5,0)</f>
        <v>未清关</v>
      </c>
      <c r="F349" s="2"/>
      <c r="G349" t="s">
        <v>15</v>
      </c>
      <c r="H349" t="s">
        <v>503</v>
      </c>
      <c r="J349" t="s">
        <v>764</v>
      </c>
    </row>
    <row r="350" spans="1:10" hidden="1" x14ac:dyDescent="0.15">
      <c r="A350" t="s">
        <v>678</v>
      </c>
      <c r="B350" t="s">
        <v>765</v>
      </c>
      <c r="D350" t="s">
        <v>592</v>
      </c>
      <c r="E350" s="2" t="str">
        <f>VLOOKUP(J350,Sheet1!C:H,5,0)</f>
        <v>未清关</v>
      </c>
      <c r="F350" s="2"/>
      <c r="G350" t="s">
        <v>15</v>
      </c>
      <c r="H350" t="s">
        <v>503</v>
      </c>
      <c r="J350" t="s">
        <v>766</v>
      </c>
    </row>
    <row r="351" spans="1:10" hidden="1" x14ac:dyDescent="0.15">
      <c r="A351" t="s">
        <v>678</v>
      </c>
      <c r="B351" t="s">
        <v>767</v>
      </c>
      <c r="D351" t="s">
        <v>592</v>
      </c>
      <c r="E351" s="2" t="str">
        <f>VLOOKUP(J351,Sheet1!C:H,5,0)</f>
        <v>未清关</v>
      </c>
      <c r="F351" s="2"/>
      <c r="G351" t="s">
        <v>15</v>
      </c>
      <c r="H351" t="s">
        <v>503</v>
      </c>
      <c r="J351" t="s">
        <v>768</v>
      </c>
    </row>
  </sheetData>
  <autoFilter ref="A1:E351" xr:uid="{00000000-0001-0000-0000-000000000000}">
    <filterColumn colId="3">
      <filters>
        <filter val="at_port"/>
      </filters>
    </filterColumn>
  </autoFilter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A90B-599F-4DE3-8966-0263B10B1B8E}">
  <dimension ref="A1:AA47"/>
  <sheetViews>
    <sheetView workbookViewId="0">
      <selection activeCell="L45" sqref="L1:L45"/>
    </sheetView>
  </sheetViews>
  <sheetFormatPr defaultRowHeight="13.5" x14ac:dyDescent="0.15"/>
  <cols>
    <col min="1" max="1" width="22.75" customWidth="1"/>
  </cols>
  <sheetData>
    <row r="1" spans="1:27" x14ac:dyDescent="0.15">
      <c r="A1" s="9" t="s">
        <v>14</v>
      </c>
      <c r="B1" s="10" t="s">
        <v>10</v>
      </c>
      <c r="C1" s="11">
        <v>46084</v>
      </c>
      <c r="D1" t="s">
        <v>3401</v>
      </c>
      <c r="E1" t="s">
        <v>3402</v>
      </c>
      <c r="K1" t="e">
        <f>VLOOKUP(L1,A:A,1,0)</f>
        <v>#N/A</v>
      </c>
      <c r="L1" t="s">
        <v>672</v>
      </c>
      <c r="M1" s="5">
        <v>46043</v>
      </c>
      <c r="N1" t="s">
        <v>673</v>
      </c>
      <c r="O1" t="s">
        <v>1532</v>
      </c>
      <c r="P1" t="s">
        <v>3403</v>
      </c>
      <c r="Q1" t="s">
        <v>3404</v>
      </c>
      <c r="R1" t="s">
        <v>861</v>
      </c>
      <c r="S1" t="s">
        <v>861</v>
      </c>
      <c r="T1" t="s">
        <v>15</v>
      </c>
      <c r="U1" t="s">
        <v>3404</v>
      </c>
      <c r="V1" s="4">
        <v>46082</v>
      </c>
      <c r="W1" t="s">
        <v>3405</v>
      </c>
      <c r="X1" t="s">
        <v>3405</v>
      </c>
      <c r="Y1" t="s">
        <v>864</v>
      </c>
      <c r="AA1" s="4">
        <v>46080.443055555559</v>
      </c>
    </row>
    <row r="2" spans="1:27" x14ac:dyDescent="0.15">
      <c r="A2" s="12" t="s">
        <v>73</v>
      </c>
      <c r="B2" s="7" t="s">
        <v>10</v>
      </c>
      <c r="C2" s="13">
        <v>46084</v>
      </c>
      <c r="D2" s="4">
        <v>46082.333333333336</v>
      </c>
      <c r="E2" s="5">
        <v>46085</v>
      </c>
      <c r="F2" t="str">
        <f>_xlfn.XLOOKUP(A2,Sheet1!I:I,Sheet1!H:H,0,,)</f>
        <v>已卸船/火车</v>
      </c>
      <c r="H2" t="str">
        <f>VLOOKUP(I2,A:A,1,0)</f>
        <v>BEAU5730626</v>
      </c>
      <c r="I2" s="2" t="s">
        <v>9</v>
      </c>
      <c r="K2" t="e">
        <f t="shared" ref="K2:K45" si="0">VLOOKUP(L2,A:A,1,0)</f>
        <v>#N/A</v>
      </c>
      <c r="L2" t="s">
        <v>674</v>
      </c>
      <c r="M2" s="5">
        <v>46036</v>
      </c>
      <c r="N2" t="s">
        <v>675</v>
      </c>
      <c r="O2" t="s">
        <v>1479</v>
      </c>
      <c r="P2" t="s">
        <v>3403</v>
      </c>
      <c r="Q2" t="s">
        <v>3404</v>
      </c>
      <c r="R2" t="s">
        <v>861</v>
      </c>
      <c r="S2" t="s">
        <v>861</v>
      </c>
      <c r="T2" t="s">
        <v>3406</v>
      </c>
      <c r="U2" t="s">
        <v>3404</v>
      </c>
      <c r="V2" s="4">
        <v>46083</v>
      </c>
      <c r="W2" t="s">
        <v>3405</v>
      </c>
      <c r="X2" t="s">
        <v>3405</v>
      </c>
      <c r="Y2" t="s">
        <v>864</v>
      </c>
      <c r="AA2" s="4">
        <v>46080.443055555559</v>
      </c>
    </row>
    <row r="3" spans="1:27" x14ac:dyDescent="0.15">
      <c r="A3" s="14" t="s">
        <v>86</v>
      </c>
      <c r="B3" s="6" t="s">
        <v>10</v>
      </c>
      <c r="C3" s="15">
        <v>46084</v>
      </c>
      <c r="D3" s="4">
        <v>46082.333333333336</v>
      </c>
      <c r="E3" s="5">
        <v>46085</v>
      </c>
      <c r="F3" t="str">
        <f>_xlfn.XLOOKUP(A3,Sheet1!I:I,Sheet1!H:H,0,,)</f>
        <v>已卸船/火车</v>
      </c>
      <c r="H3" t="str">
        <f t="shared" ref="H3:H47" si="1">VLOOKUP(I3,A:A,1,0)</f>
        <v>CAAU9221491</v>
      </c>
      <c r="I3" t="s">
        <v>14</v>
      </c>
      <c r="K3" t="e">
        <f t="shared" si="0"/>
        <v>#N/A</v>
      </c>
      <c r="L3" t="s">
        <v>595</v>
      </c>
      <c r="M3" s="5">
        <v>46036</v>
      </c>
      <c r="N3" t="s">
        <v>596</v>
      </c>
      <c r="O3" t="s">
        <v>1475</v>
      </c>
      <c r="P3" t="s">
        <v>3403</v>
      </c>
      <c r="Q3" t="s">
        <v>3404</v>
      </c>
      <c r="R3" t="s">
        <v>861</v>
      </c>
      <c r="S3" t="s">
        <v>861</v>
      </c>
      <c r="T3" t="s">
        <v>3406</v>
      </c>
      <c r="U3" t="s">
        <v>3404</v>
      </c>
      <c r="V3" s="4">
        <v>46083</v>
      </c>
      <c r="W3" t="s">
        <v>3405</v>
      </c>
      <c r="X3" t="s">
        <v>3405</v>
      </c>
      <c r="Y3" t="s">
        <v>864</v>
      </c>
      <c r="AA3" s="4">
        <v>46080.443055555559</v>
      </c>
    </row>
    <row r="4" spans="1:27" x14ac:dyDescent="0.15">
      <c r="A4" s="12" t="s">
        <v>88</v>
      </c>
      <c r="B4" s="7" t="s">
        <v>10</v>
      </c>
      <c r="C4" s="13">
        <v>46084</v>
      </c>
      <c r="D4" s="4">
        <v>46082.333333333336</v>
      </c>
      <c r="E4" s="5">
        <v>46085</v>
      </c>
      <c r="F4" t="str">
        <f>_xlfn.XLOOKUP(A4,Sheet1!I:I,Sheet1!H:H,0,,)</f>
        <v>已到目的港</v>
      </c>
      <c r="H4" t="str">
        <f t="shared" si="1"/>
        <v>CAIU7235539</v>
      </c>
      <c r="I4" t="s">
        <v>18</v>
      </c>
      <c r="K4" t="e">
        <f t="shared" si="0"/>
        <v>#N/A</v>
      </c>
      <c r="L4" t="s">
        <v>682</v>
      </c>
      <c r="M4" s="5">
        <v>46044</v>
      </c>
      <c r="N4" t="s">
        <v>683</v>
      </c>
      <c r="O4" t="s">
        <v>1283</v>
      </c>
      <c r="P4" t="s">
        <v>3403</v>
      </c>
      <c r="Q4" t="s">
        <v>3404</v>
      </c>
      <c r="R4" t="s">
        <v>861</v>
      </c>
      <c r="S4" t="s">
        <v>861</v>
      </c>
      <c r="T4" t="s">
        <v>3406</v>
      </c>
      <c r="U4" t="s">
        <v>3404</v>
      </c>
      <c r="V4" s="4">
        <v>46086</v>
      </c>
      <c r="W4" t="s">
        <v>3405</v>
      </c>
      <c r="X4" t="s">
        <v>3405</v>
      </c>
      <c r="Y4" t="s">
        <v>864</v>
      </c>
      <c r="AA4" s="4">
        <v>46080.443055555559</v>
      </c>
    </row>
    <row r="5" spans="1:27" x14ac:dyDescent="0.15">
      <c r="A5" s="14" t="s">
        <v>22</v>
      </c>
      <c r="B5" s="6" t="s">
        <v>10</v>
      </c>
      <c r="C5" s="15">
        <v>46083</v>
      </c>
      <c r="D5" s="4">
        <v>46087</v>
      </c>
      <c r="E5" s="5">
        <v>46086</v>
      </c>
      <c r="F5" t="str">
        <f>_xlfn.XLOOKUP(A5,Sheet1!I:I,Sheet1!H:H,0,,)</f>
        <v>已卸船/火车</v>
      </c>
      <c r="H5" t="str">
        <f t="shared" si="1"/>
        <v>CAIU9970363</v>
      </c>
      <c r="I5" t="s">
        <v>22</v>
      </c>
      <c r="K5" t="e">
        <f t="shared" si="0"/>
        <v>#N/A</v>
      </c>
      <c r="L5" t="s">
        <v>652</v>
      </c>
      <c r="M5" s="5">
        <v>46050</v>
      </c>
      <c r="N5" t="s">
        <v>653</v>
      </c>
      <c r="O5" t="s">
        <v>1239</v>
      </c>
      <c r="P5" t="s">
        <v>3403</v>
      </c>
      <c r="Q5" t="s">
        <v>3404</v>
      </c>
      <c r="R5" t="s">
        <v>861</v>
      </c>
      <c r="S5" t="s">
        <v>861</v>
      </c>
      <c r="T5" t="s">
        <v>3406</v>
      </c>
      <c r="U5" t="s">
        <v>3404</v>
      </c>
      <c r="V5" s="4">
        <v>46085</v>
      </c>
      <c r="W5" t="s">
        <v>3405</v>
      </c>
      <c r="X5" t="s">
        <v>3405</v>
      </c>
      <c r="Y5" t="s">
        <v>864</v>
      </c>
      <c r="AA5" s="4">
        <v>46080.443055555559</v>
      </c>
    </row>
    <row r="6" spans="1:27" x14ac:dyDescent="0.15">
      <c r="A6" s="12" t="s">
        <v>25</v>
      </c>
      <c r="B6" s="7" t="s">
        <v>10</v>
      </c>
      <c r="C6" s="13">
        <v>46083</v>
      </c>
      <c r="D6" s="4">
        <v>46082.25</v>
      </c>
      <c r="E6" s="5">
        <v>46086</v>
      </c>
      <c r="F6" t="str">
        <f>_xlfn.XLOOKUP(A6,Sheet1!I:I,Sheet1!H:H,0,,)</f>
        <v>已卸船/火车</v>
      </c>
      <c r="H6" t="str">
        <f t="shared" si="1"/>
        <v>FSCU8507808</v>
      </c>
      <c r="I6" t="s">
        <v>25</v>
      </c>
      <c r="K6" t="e">
        <f t="shared" si="0"/>
        <v>#N/A</v>
      </c>
      <c r="L6" t="s">
        <v>602</v>
      </c>
      <c r="M6" s="5">
        <v>46046</v>
      </c>
      <c r="N6" t="s">
        <v>603</v>
      </c>
      <c r="O6" t="s">
        <v>2687</v>
      </c>
      <c r="P6" t="s">
        <v>3403</v>
      </c>
      <c r="Q6" t="s">
        <v>3404</v>
      </c>
      <c r="R6" t="s">
        <v>861</v>
      </c>
      <c r="S6" t="s">
        <v>861</v>
      </c>
      <c r="T6" t="s">
        <v>15</v>
      </c>
      <c r="U6" t="s">
        <v>3404</v>
      </c>
      <c r="V6" s="4">
        <v>46082.25</v>
      </c>
      <c r="W6" t="s">
        <v>3405</v>
      </c>
      <c r="X6" t="s">
        <v>3405</v>
      </c>
      <c r="Y6" t="s">
        <v>864</v>
      </c>
      <c r="AA6" s="4">
        <v>46080.443055555559</v>
      </c>
    </row>
    <row r="7" spans="1:27" x14ac:dyDescent="0.15">
      <c r="A7" s="14" t="s">
        <v>31</v>
      </c>
      <c r="B7" s="6" t="s">
        <v>10</v>
      </c>
      <c r="C7" s="15">
        <v>46083</v>
      </c>
      <c r="D7" s="4">
        <v>46087</v>
      </c>
      <c r="E7" s="5">
        <v>46086</v>
      </c>
      <c r="F7" t="str">
        <f>_xlfn.XLOOKUP(A7,Sheet1!I:I,Sheet1!H:H,0,,)</f>
        <v>已卸船/火车</v>
      </c>
      <c r="H7" t="str">
        <f t="shared" si="1"/>
        <v>GCXU5599790</v>
      </c>
      <c r="I7" t="s">
        <v>27</v>
      </c>
      <c r="K7" t="e">
        <f t="shared" si="0"/>
        <v>#N/A</v>
      </c>
      <c r="L7" t="s">
        <v>618</v>
      </c>
      <c r="M7" s="5">
        <v>46046</v>
      </c>
      <c r="N7" t="s">
        <v>619</v>
      </c>
      <c r="O7" t="s">
        <v>2684</v>
      </c>
      <c r="P7" t="s">
        <v>3403</v>
      </c>
      <c r="Q7" t="s">
        <v>3404</v>
      </c>
      <c r="R7" t="s">
        <v>861</v>
      </c>
      <c r="S7" t="s">
        <v>861</v>
      </c>
      <c r="T7" t="s">
        <v>15</v>
      </c>
      <c r="U7" t="s">
        <v>3404</v>
      </c>
      <c r="V7" s="4">
        <v>46082.25</v>
      </c>
      <c r="W7" t="s">
        <v>3405</v>
      </c>
      <c r="X7" t="s">
        <v>3405</v>
      </c>
      <c r="Y7" t="s">
        <v>864</v>
      </c>
      <c r="AA7" s="4">
        <v>46080.443055555559</v>
      </c>
    </row>
    <row r="8" spans="1:27" x14ac:dyDescent="0.15">
      <c r="A8" s="12" t="s">
        <v>33</v>
      </c>
      <c r="B8" s="7" t="s">
        <v>10</v>
      </c>
      <c r="C8" s="13">
        <v>46083</v>
      </c>
      <c r="D8" s="4">
        <v>46109</v>
      </c>
      <c r="E8" s="5">
        <v>46086</v>
      </c>
      <c r="F8" t="str">
        <f>_xlfn.XLOOKUP(A8,Sheet1!I:I,Sheet1!H:H,0,,)</f>
        <v>已卸船/火车</v>
      </c>
      <c r="H8" t="str">
        <f t="shared" si="1"/>
        <v>HASU4405826</v>
      </c>
      <c r="I8" t="s">
        <v>29</v>
      </c>
      <c r="K8" t="e">
        <f t="shared" si="0"/>
        <v>#N/A</v>
      </c>
      <c r="L8" t="s">
        <v>765</v>
      </c>
      <c r="M8" s="5">
        <v>46049</v>
      </c>
      <c r="N8" t="s">
        <v>766</v>
      </c>
      <c r="O8" t="s">
        <v>2366</v>
      </c>
      <c r="P8" t="s">
        <v>3403</v>
      </c>
      <c r="Q8" t="s">
        <v>3404</v>
      </c>
      <c r="R8" t="s">
        <v>861</v>
      </c>
      <c r="S8" t="s">
        <v>861</v>
      </c>
      <c r="T8" t="s">
        <v>15</v>
      </c>
      <c r="U8" t="s">
        <v>3404</v>
      </c>
      <c r="V8" s="4">
        <v>46086</v>
      </c>
      <c r="W8" t="s">
        <v>3405</v>
      </c>
      <c r="X8" t="s">
        <v>3405</v>
      </c>
      <c r="Y8" t="s">
        <v>864</v>
      </c>
      <c r="AA8" s="4">
        <v>46080.443055555559</v>
      </c>
    </row>
    <row r="9" spans="1:27" x14ac:dyDescent="0.15">
      <c r="A9" s="14" t="s">
        <v>42</v>
      </c>
      <c r="B9" s="6" t="s">
        <v>10</v>
      </c>
      <c r="C9" s="15">
        <v>46083</v>
      </c>
      <c r="D9" s="4">
        <v>46085.895833333336</v>
      </c>
      <c r="E9" s="5">
        <v>46090</v>
      </c>
      <c r="F9" t="str">
        <f>_xlfn.XLOOKUP(A9,Sheet1!I:I,Sheet1!H:H,0,,)</f>
        <v>已卸船/火车</v>
      </c>
      <c r="H9" t="str">
        <f t="shared" si="1"/>
        <v>HMMU4016860</v>
      </c>
      <c r="I9" t="s">
        <v>31</v>
      </c>
      <c r="K9" t="e">
        <f t="shared" si="0"/>
        <v>#N/A</v>
      </c>
      <c r="L9" t="s">
        <v>763</v>
      </c>
      <c r="M9" s="5">
        <v>46049</v>
      </c>
      <c r="N9" t="s">
        <v>764</v>
      </c>
      <c r="O9" t="s">
        <v>2363</v>
      </c>
      <c r="P9" t="s">
        <v>3403</v>
      </c>
      <c r="Q9" t="s">
        <v>3404</v>
      </c>
      <c r="R9" t="s">
        <v>861</v>
      </c>
      <c r="S9" t="s">
        <v>861</v>
      </c>
      <c r="T9" t="s">
        <v>15</v>
      </c>
      <c r="U9" t="s">
        <v>3404</v>
      </c>
      <c r="V9" s="4">
        <v>46086</v>
      </c>
      <c r="W9" t="s">
        <v>3405</v>
      </c>
      <c r="X9" t="s">
        <v>3405</v>
      </c>
      <c r="Y9" t="s">
        <v>864</v>
      </c>
      <c r="AA9" s="4">
        <v>46080.443055555559</v>
      </c>
    </row>
    <row r="10" spans="1:27" x14ac:dyDescent="0.15">
      <c r="A10" s="12" t="s">
        <v>44</v>
      </c>
      <c r="B10" s="7" t="s">
        <v>10</v>
      </c>
      <c r="C10" s="13">
        <v>46083</v>
      </c>
      <c r="D10" s="4">
        <v>46085.895833333336</v>
      </c>
      <c r="E10" s="5">
        <v>46090</v>
      </c>
      <c r="F10" t="str">
        <f>_xlfn.XLOOKUP(A10,Sheet1!I:I,Sheet1!H:H,0,,)</f>
        <v>已卸船/火车</v>
      </c>
      <c r="H10" t="str">
        <f t="shared" si="1"/>
        <v>HMMU4139490</v>
      </c>
      <c r="I10" t="s">
        <v>33</v>
      </c>
      <c r="K10" t="e">
        <f t="shared" si="0"/>
        <v>#N/A</v>
      </c>
      <c r="L10" t="s">
        <v>767</v>
      </c>
      <c r="M10" s="5">
        <v>46049</v>
      </c>
      <c r="N10" t="s">
        <v>768</v>
      </c>
      <c r="O10" t="s">
        <v>2361</v>
      </c>
      <c r="P10" t="s">
        <v>3403</v>
      </c>
      <c r="Q10" t="s">
        <v>3404</v>
      </c>
      <c r="R10" t="s">
        <v>861</v>
      </c>
      <c r="S10" t="s">
        <v>861</v>
      </c>
      <c r="T10" t="s">
        <v>15</v>
      </c>
      <c r="U10" t="s">
        <v>3404</v>
      </c>
      <c r="V10" s="4">
        <v>46086</v>
      </c>
      <c r="W10" t="s">
        <v>3405</v>
      </c>
      <c r="X10" t="s">
        <v>3405</v>
      </c>
      <c r="Y10" t="s">
        <v>864</v>
      </c>
      <c r="AA10" s="4">
        <v>46080.443055555559</v>
      </c>
    </row>
    <row r="11" spans="1:27" x14ac:dyDescent="0.15">
      <c r="A11" s="14" t="s">
        <v>46</v>
      </c>
      <c r="B11" s="6" t="s">
        <v>10</v>
      </c>
      <c r="C11" s="15">
        <v>46083</v>
      </c>
      <c r="D11" s="4">
        <v>46085.895833333336</v>
      </c>
      <c r="E11" s="5">
        <v>46090</v>
      </c>
      <c r="F11" t="str">
        <f>_xlfn.XLOOKUP(A11,Sheet1!I:I,Sheet1!H:H,0,,)</f>
        <v>已卸船/火车</v>
      </c>
      <c r="H11" t="str">
        <f t="shared" si="1"/>
        <v>HMMU4181756</v>
      </c>
      <c r="I11" t="s">
        <v>35</v>
      </c>
      <c r="K11" t="e">
        <f t="shared" si="0"/>
        <v>#N/A</v>
      </c>
      <c r="L11" t="s">
        <v>750</v>
      </c>
      <c r="M11" s="5">
        <v>46049</v>
      </c>
      <c r="N11" t="s">
        <v>751</v>
      </c>
      <c r="O11" t="s">
        <v>2357</v>
      </c>
      <c r="P11" t="s">
        <v>3403</v>
      </c>
      <c r="Q11" t="s">
        <v>3404</v>
      </c>
      <c r="R11" t="s">
        <v>861</v>
      </c>
      <c r="S11" t="s">
        <v>861</v>
      </c>
      <c r="T11" t="s">
        <v>15</v>
      </c>
      <c r="U11" t="s">
        <v>3404</v>
      </c>
      <c r="V11" s="4">
        <v>46086</v>
      </c>
      <c r="W11" t="s">
        <v>3405</v>
      </c>
      <c r="X11" t="s">
        <v>3405</v>
      </c>
      <c r="Y11" t="s">
        <v>864</v>
      </c>
      <c r="AA11" s="4">
        <v>46080.443055555559</v>
      </c>
    </row>
    <row r="12" spans="1:27" x14ac:dyDescent="0.15">
      <c r="A12" s="12" t="s">
        <v>48</v>
      </c>
      <c r="B12" s="7" t="s">
        <v>10</v>
      </c>
      <c r="C12" s="13">
        <v>46083</v>
      </c>
      <c r="D12" s="4">
        <v>46085.895833333336</v>
      </c>
      <c r="E12" s="5">
        <v>46090</v>
      </c>
      <c r="F12" t="str">
        <f>_xlfn.XLOOKUP(A12,Sheet1!I:I,Sheet1!H:H,0,,)</f>
        <v>已卸船/火车</v>
      </c>
      <c r="H12" t="str">
        <f t="shared" si="1"/>
        <v>HMMU4753337</v>
      </c>
      <c r="I12" t="s">
        <v>40</v>
      </c>
      <c r="K12" t="e">
        <f t="shared" si="0"/>
        <v>#N/A</v>
      </c>
      <c r="L12" t="s">
        <v>630</v>
      </c>
      <c r="M12" s="5">
        <v>46047</v>
      </c>
      <c r="N12" t="s">
        <v>631</v>
      </c>
      <c r="O12">
        <v>277629219</v>
      </c>
      <c r="P12" t="s">
        <v>3403</v>
      </c>
      <c r="Q12" t="s">
        <v>3404</v>
      </c>
      <c r="R12" t="s">
        <v>861</v>
      </c>
      <c r="S12" t="s">
        <v>861</v>
      </c>
      <c r="T12" t="s">
        <v>11</v>
      </c>
      <c r="U12" t="s">
        <v>3404</v>
      </c>
      <c r="V12" s="4">
        <v>46085.520833333336</v>
      </c>
      <c r="W12" t="s">
        <v>3405</v>
      </c>
      <c r="X12" t="s">
        <v>3405</v>
      </c>
      <c r="Y12" t="s">
        <v>864</v>
      </c>
      <c r="AA12" s="4">
        <v>46080.39166666667</v>
      </c>
    </row>
    <row r="13" spans="1:27" x14ac:dyDescent="0.15">
      <c r="A13" s="14" t="s">
        <v>50</v>
      </c>
      <c r="B13" s="6" t="s">
        <v>10</v>
      </c>
      <c r="C13" s="15">
        <v>46083</v>
      </c>
      <c r="D13" s="4">
        <v>46085.895833333336</v>
      </c>
      <c r="E13" s="5">
        <v>46090</v>
      </c>
      <c r="F13" t="str">
        <f>_xlfn.XLOOKUP(A13,Sheet1!I:I,Sheet1!H:H,0,,)</f>
        <v>已卸船/火车</v>
      </c>
      <c r="H13" t="str">
        <f t="shared" si="1"/>
        <v>HMMU6350686</v>
      </c>
      <c r="I13" t="s">
        <v>42</v>
      </c>
      <c r="K13" t="e">
        <f t="shared" si="0"/>
        <v>#N/A</v>
      </c>
      <c r="L13" t="s">
        <v>604</v>
      </c>
      <c r="M13" s="5">
        <v>46040</v>
      </c>
      <c r="N13" t="s">
        <v>605</v>
      </c>
      <c r="O13">
        <v>277629215</v>
      </c>
      <c r="P13" t="s">
        <v>3403</v>
      </c>
      <c r="Q13" t="s">
        <v>3404</v>
      </c>
      <c r="R13" t="s">
        <v>861</v>
      </c>
      <c r="S13" t="s">
        <v>861</v>
      </c>
      <c r="T13" t="s">
        <v>11</v>
      </c>
      <c r="U13" t="s">
        <v>3404</v>
      </c>
      <c r="V13" s="4">
        <v>46081.3125</v>
      </c>
      <c r="W13" t="s">
        <v>3405</v>
      </c>
      <c r="X13" t="s">
        <v>3405</v>
      </c>
      <c r="Y13" t="s">
        <v>864</v>
      </c>
      <c r="AA13" s="4">
        <v>46080.39166666667</v>
      </c>
    </row>
    <row r="14" spans="1:27" x14ac:dyDescent="0.15">
      <c r="A14" s="12" t="s">
        <v>52</v>
      </c>
      <c r="B14" s="7" t="s">
        <v>10</v>
      </c>
      <c r="C14" s="13">
        <v>46083</v>
      </c>
      <c r="D14" s="4">
        <v>46085.895833333336</v>
      </c>
      <c r="E14" s="5">
        <v>46090</v>
      </c>
      <c r="F14" t="str">
        <f>_xlfn.XLOOKUP(A14,Sheet1!I:I,Sheet1!H:H,0,,)</f>
        <v>已卸船/火车</v>
      </c>
      <c r="H14" t="str">
        <f t="shared" si="1"/>
        <v>HMMU6552584</v>
      </c>
      <c r="I14" t="s">
        <v>44</v>
      </c>
      <c r="K14" t="e">
        <f t="shared" si="0"/>
        <v>#N/A</v>
      </c>
      <c r="L14" t="s">
        <v>666</v>
      </c>
      <c r="M14" s="5">
        <v>46051</v>
      </c>
      <c r="N14" t="s">
        <v>667</v>
      </c>
      <c r="O14" t="s">
        <v>2844</v>
      </c>
      <c r="P14" t="s">
        <v>3403</v>
      </c>
      <c r="Q14" t="s">
        <v>3404</v>
      </c>
      <c r="R14" t="s">
        <v>861</v>
      </c>
      <c r="S14" t="s">
        <v>861</v>
      </c>
      <c r="T14" t="s">
        <v>3406</v>
      </c>
      <c r="U14" t="s">
        <v>3404</v>
      </c>
      <c r="V14" s="4">
        <v>46079.895833333336</v>
      </c>
      <c r="W14" t="s">
        <v>3405</v>
      </c>
      <c r="X14" t="s">
        <v>3405</v>
      </c>
      <c r="Y14" t="s">
        <v>864</v>
      </c>
      <c r="AA14" s="4">
        <v>46080.440972222219</v>
      </c>
    </row>
    <row r="15" spans="1:27" x14ac:dyDescent="0.15">
      <c r="A15" s="14" t="s">
        <v>54</v>
      </c>
      <c r="B15" s="6" t="s">
        <v>10</v>
      </c>
      <c r="C15" s="15">
        <v>46083</v>
      </c>
      <c r="D15" s="4">
        <v>46086</v>
      </c>
      <c r="E15" s="5">
        <v>46091</v>
      </c>
      <c r="F15" t="str">
        <f>_xlfn.XLOOKUP(A15,Sheet1!I:I,Sheet1!H:H,0,,)</f>
        <v>已卸船/火车</v>
      </c>
      <c r="H15" t="str">
        <f t="shared" si="1"/>
        <v>HMMU6595800</v>
      </c>
      <c r="I15" t="s">
        <v>46</v>
      </c>
      <c r="K15" t="e">
        <f t="shared" si="0"/>
        <v>#N/A</v>
      </c>
      <c r="L15" t="s">
        <v>660</v>
      </c>
      <c r="M15" s="5">
        <v>46051</v>
      </c>
      <c r="N15" t="s">
        <v>661</v>
      </c>
      <c r="O15" t="s">
        <v>2819</v>
      </c>
      <c r="P15" t="s">
        <v>3403</v>
      </c>
      <c r="Q15" t="s">
        <v>3404</v>
      </c>
      <c r="R15" t="s">
        <v>861</v>
      </c>
      <c r="S15" t="s">
        <v>861</v>
      </c>
      <c r="T15" t="s">
        <v>3406</v>
      </c>
      <c r="U15" t="s">
        <v>3404</v>
      </c>
      <c r="V15" s="4">
        <v>46079.895833333336</v>
      </c>
      <c r="W15" t="s">
        <v>3405</v>
      </c>
      <c r="X15" t="s">
        <v>3405</v>
      </c>
      <c r="Y15" t="s">
        <v>864</v>
      </c>
      <c r="AA15" s="4">
        <v>46080.440972222219</v>
      </c>
    </row>
    <row r="16" spans="1:27" x14ac:dyDescent="0.15">
      <c r="A16" s="12" t="s">
        <v>58</v>
      </c>
      <c r="B16" s="7" t="s">
        <v>10</v>
      </c>
      <c r="C16" s="13">
        <v>46083</v>
      </c>
      <c r="D16" s="4">
        <v>46086</v>
      </c>
      <c r="E16" s="5">
        <v>46091</v>
      </c>
      <c r="F16" t="str">
        <f>_xlfn.XLOOKUP(A16,Sheet1!I:I,Sheet1!H:H,0,,)</f>
        <v>已卸船/火车</v>
      </c>
      <c r="H16" t="str">
        <f t="shared" si="1"/>
        <v>HMMU6671860</v>
      </c>
      <c r="I16" t="s">
        <v>48</v>
      </c>
      <c r="K16" t="e">
        <f t="shared" si="0"/>
        <v>#N/A</v>
      </c>
      <c r="L16" t="s">
        <v>614</v>
      </c>
      <c r="M16" s="5">
        <v>46051</v>
      </c>
      <c r="N16" t="s">
        <v>615</v>
      </c>
      <c r="O16" t="s">
        <v>2823</v>
      </c>
      <c r="P16" t="s">
        <v>3403</v>
      </c>
      <c r="Q16" t="s">
        <v>3404</v>
      </c>
      <c r="R16" t="s">
        <v>861</v>
      </c>
      <c r="S16" t="s">
        <v>861</v>
      </c>
      <c r="T16" t="s">
        <v>3406</v>
      </c>
      <c r="U16" t="s">
        <v>3404</v>
      </c>
      <c r="V16" s="4">
        <v>46079.895833333336</v>
      </c>
      <c r="W16" t="s">
        <v>3405</v>
      </c>
      <c r="X16" t="s">
        <v>3405</v>
      </c>
      <c r="Y16" t="s">
        <v>864</v>
      </c>
      <c r="AA16" s="4">
        <v>46080.440972222219</v>
      </c>
    </row>
    <row r="17" spans="1:27" x14ac:dyDescent="0.15">
      <c r="A17" s="14" t="s">
        <v>60</v>
      </c>
      <c r="B17" s="6" t="s">
        <v>10</v>
      </c>
      <c r="C17" s="15">
        <v>46083</v>
      </c>
      <c r="D17" s="4">
        <v>46086</v>
      </c>
      <c r="E17" s="5">
        <v>46091</v>
      </c>
      <c r="F17" t="str">
        <f>_xlfn.XLOOKUP(A17,Sheet1!I:I,Sheet1!H:H,0,,)</f>
        <v>已卸船/火车</v>
      </c>
      <c r="H17" t="str">
        <f t="shared" si="1"/>
        <v>HMMU6855472</v>
      </c>
      <c r="I17" t="s">
        <v>50</v>
      </c>
      <c r="K17" t="e">
        <f t="shared" si="0"/>
        <v>#N/A</v>
      </c>
      <c r="L17" t="s">
        <v>616</v>
      </c>
      <c r="M17" s="5">
        <v>46051</v>
      </c>
      <c r="N17" t="s">
        <v>617</v>
      </c>
      <c r="O17" t="s">
        <v>2811</v>
      </c>
      <c r="P17" t="s">
        <v>3403</v>
      </c>
      <c r="Q17" t="s">
        <v>3404</v>
      </c>
      <c r="R17" t="s">
        <v>861</v>
      </c>
      <c r="S17" t="s">
        <v>861</v>
      </c>
      <c r="T17" t="s">
        <v>3406</v>
      </c>
      <c r="U17" t="s">
        <v>3404</v>
      </c>
      <c r="V17" s="4">
        <v>46079.895833333336</v>
      </c>
      <c r="W17" t="s">
        <v>3405</v>
      </c>
      <c r="X17" t="s">
        <v>3405</v>
      </c>
      <c r="Y17" t="s">
        <v>864</v>
      </c>
      <c r="AA17" s="4">
        <v>46080.440972222219</v>
      </c>
    </row>
    <row r="18" spans="1:27" x14ac:dyDescent="0.15">
      <c r="A18" s="12" t="s">
        <v>62</v>
      </c>
      <c r="B18" s="7" t="s">
        <v>10</v>
      </c>
      <c r="C18" s="13">
        <v>46083</v>
      </c>
      <c r="D18" s="4">
        <v>46086</v>
      </c>
      <c r="E18" s="5">
        <v>46091</v>
      </c>
      <c r="F18" t="str">
        <f>_xlfn.XLOOKUP(A18,Sheet1!I:I,Sheet1!H:H,0,,)</f>
        <v>已卸船/火车</v>
      </c>
      <c r="H18" t="str">
        <f t="shared" si="1"/>
        <v>HMMU6874528</v>
      </c>
      <c r="I18" t="s">
        <v>52</v>
      </c>
      <c r="K18" t="e">
        <f t="shared" si="0"/>
        <v>#N/A</v>
      </c>
      <c r="L18" t="s">
        <v>606</v>
      </c>
      <c r="M18" s="5">
        <v>46051</v>
      </c>
      <c r="N18" t="s">
        <v>607</v>
      </c>
      <c r="O18" t="s">
        <v>2816</v>
      </c>
      <c r="P18" t="s">
        <v>3403</v>
      </c>
      <c r="Q18" t="s">
        <v>3404</v>
      </c>
      <c r="R18" t="s">
        <v>861</v>
      </c>
      <c r="S18" t="s">
        <v>861</v>
      </c>
      <c r="T18" t="s">
        <v>3406</v>
      </c>
      <c r="U18" t="s">
        <v>3404</v>
      </c>
      <c r="V18" s="4">
        <v>46079.895833333336</v>
      </c>
      <c r="W18" t="s">
        <v>3405</v>
      </c>
      <c r="X18" t="s">
        <v>3405</v>
      </c>
      <c r="Y18" t="s">
        <v>864</v>
      </c>
      <c r="AA18" s="4">
        <v>46080.440972222219</v>
      </c>
    </row>
    <row r="19" spans="1:27" x14ac:dyDescent="0.15">
      <c r="A19" s="14" t="s">
        <v>68</v>
      </c>
      <c r="B19" s="6" t="s">
        <v>10</v>
      </c>
      <c r="C19" s="15">
        <v>46083</v>
      </c>
      <c r="D19" s="4">
        <v>46089</v>
      </c>
      <c r="E19" s="5">
        <v>46092</v>
      </c>
      <c r="F19" t="str">
        <f>_xlfn.XLOOKUP(A19,Sheet1!I:I,Sheet1!H:H,0,,)</f>
        <v>已卸船/火车</v>
      </c>
      <c r="H19" t="str">
        <f t="shared" si="1"/>
        <v>HMMU6947630</v>
      </c>
      <c r="I19" t="s">
        <v>54</v>
      </c>
      <c r="K19" t="e">
        <f t="shared" si="0"/>
        <v>#N/A</v>
      </c>
      <c r="L19" t="s">
        <v>610</v>
      </c>
      <c r="M19" s="5">
        <v>46051</v>
      </c>
      <c r="N19" t="s">
        <v>611</v>
      </c>
      <c r="O19" t="s">
        <v>2808</v>
      </c>
      <c r="P19" t="s">
        <v>3403</v>
      </c>
      <c r="Q19" t="s">
        <v>3404</v>
      </c>
      <c r="R19" t="s">
        <v>861</v>
      </c>
      <c r="S19" t="s">
        <v>861</v>
      </c>
      <c r="T19" t="s">
        <v>3406</v>
      </c>
      <c r="U19" t="s">
        <v>3404</v>
      </c>
      <c r="V19" s="4">
        <v>46079.895833333336</v>
      </c>
      <c r="W19" t="s">
        <v>3405</v>
      </c>
      <c r="X19" t="s">
        <v>3405</v>
      </c>
      <c r="Y19" t="s">
        <v>864</v>
      </c>
      <c r="AA19" s="4">
        <v>46080.440972222219</v>
      </c>
    </row>
    <row r="20" spans="1:27" x14ac:dyDescent="0.15">
      <c r="A20" s="12" t="s">
        <v>103</v>
      </c>
      <c r="B20" s="7" t="s">
        <v>10</v>
      </c>
      <c r="C20" s="13">
        <v>46083</v>
      </c>
      <c r="D20" s="4">
        <v>46088.333333333336</v>
      </c>
      <c r="E20" s="5">
        <v>46092</v>
      </c>
      <c r="F20" t="str">
        <f>_xlfn.XLOOKUP(A20,Sheet1!I:I,Sheet1!H:H,0,,)</f>
        <v>已卸船/火车</v>
      </c>
      <c r="H20" t="str">
        <f t="shared" si="1"/>
        <v>HMMU7135055</v>
      </c>
      <c r="I20" t="s">
        <v>56</v>
      </c>
      <c r="K20" t="e">
        <f t="shared" si="0"/>
        <v>#N/A</v>
      </c>
      <c r="L20" t="s">
        <v>608</v>
      </c>
      <c r="M20" s="5">
        <v>46051</v>
      </c>
      <c r="N20" t="s">
        <v>609</v>
      </c>
      <c r="O20" t="s">
        <v>2803</v>
      </c>
      <c r="P20" t="s">
        <v>3403</v>
      </c>
      <c r="Q20" t="s">
        <v>3404</v>
      </c>
      <c r="R20" t="s">
        <v>861</v>
      </c>
      <c r="S20" t="s">
        <v>861</v>
      </c>
      <c r="T20" t="s">
        <v>3406</v>
      </c>
      <c r="U20" t="s">
        <v>3404</v>
      </c>
      <c r="V20" s="4">
        <v>46079.895833333336</v>
      </c>
      <c r="W20" t="s">
        <v>3405</v>
      </c>
      <c r="X20" t="s">
        <v>3405</v>
      </c>
      <c r="Y20" t="s">
        <v>864</v>
      </c>
      <c r="AA20" s="4">
        <v>46080.440972222219</v>
      </c>
    </row>
    <row r="21" spans="1:27" x14ac:dyDescent="0.15">
      <c r="A21" s="14" t="s">
        <v>107</v>
      </c>
      <c r="B21" s="6" t="s">
        <v>10</v>
      </c>
      <c r="C21" s="15">
        <v>46083</v>
      </c>
      <c r="D21" s="4">
        <v>46093.333333333336</v>
      </c>
      <c r="E21" s="5">
        <v>46094</v>
      </c>
      <c r="F21" t="str">
        <f>_xlfn.XLOOKUP(A21,Sheet1!I:I,Sheet1!H:H,0,,)</f>
        <v>已卸船/火车</v>
      </c>
      <c r="H21" t="str">
        <f t="shared" si="1"/>
        <v>HMMU7164789</v>
      </c>
      <c r="I21" t="s">
        <v>58</v>
      </c>
      <c r="K21" t="e">
        <f t="shared" si="0"/>
        <v>#N/A</v>
      </c>
      <c r="L21" t="s">
        <v>612</v>
      </c>
      <c r="M21" s="5">
        <v>46051</v>
      </c>
      <c r="N21" t="s">
        <v>613</v>
      </c>
      <c r="O21" t="s">
        <v>2798</v>
      </c>
      <c r="P21" t="s">
        <v>3403</v>
      </c>
      <c r="Q21" t="s">
        <v>3404</v>
      </c>
      <c r="R21" t="s">
        <v>861</v>
      </c>
      <c r="S21" t="s">
        <v>861</v>
      </c>
      <c r="T21" t="s">
        <v>3406</v>
      </c>
      <c r="U21" t="s">
        <v>3404</v>
      </c>
      <c r="V21" s="4">
        <v>46079.895833333336</v>
      </c>
      <c r="W21" t="s">
        <v>3405</v>
      </c>
      <c r="X21" t="s">
        <v>3405</v>
      </c>
      <c r="Y21" t="s">
        <v>864</v>
      </c>
      <c r="AA21" s="4">
        <v>46080.440972222219</v>
      </c>
    </row>
    <row r="22" spans="1:27" x14ac:dyDescent="0.15">
      <c r="A22" s="12" t="s">
        <v>109</v>
      </c>
      <c r="B22" s="7" t="s">
        <v>10</v>
      </c>
      <c r="C22" s="13">
        <v>46083</v>
      </c>
      <c r="F22" t="str">
        <f>_xlfn.XLOOKUP(A22,Sheet1!I:I,Sheet1!H:H,0,,)</f>
        <v>已卸船/火车</v>
      </c>
      <c r="H22" t="str">
        <f t="shared" si="1"/>
        <v>KOCU4690071</v>
      </c>
      <c r="I22" t="s">
        <v>60</v>
      </c>
      <c r="K22" t="e">
        <f t="shared" si="0"/>
        <v>#N/A</v>
      </c>
      <c r="L22" t="s">
        <v>622</v>
      </c>
      <c r="M22" s="5">
        <v>46051</v>
      </c>
      <c r="N22" t="s">
        <v>623</v>
      </c>
      <c r="O22" t="s">
        <v>2790</v>
      </c>
      <c r="P22" t="s">
        <v>3403</v>
      </c>
      <c r="Q22" t="s">
        <v>3404</v>
      </c>
      <c r="R22" t="s">
        <v>861</v>
      </c>
      <c r="S22" t="s">
        <v>861</v>
      </c>
      <c r="T22" t="s">
        <v>3406</v>
      </c>
      <c r="U22" t="s">
        <v>3404</v>
      </c>
      <c r="V22" s="4">
        <v>46079.895833333336</v>
      </c>
      <c r="W22" t="s">
        <v>3405</v>
      </c>
      <c r="X22" t="s">
        <v>3405</v>
      </c>
      <c r="Y22" t="s">
        <v>864</v>
      </c>
      <c r="AA22" s="4">
        <v>46080.440972222219</v>
      </c>
    </row>
    <row r="23" spans="1:27" x14ac:dyDescent="0.15">
      <c r="A23" s="14" t="s">
        <v>111</v>
      </c>
      <c r="B23" s="6" t="s">
        <v>10</v>
      </c>
      <c r="C23" s="15">
        <v>46083</v>
      </c>
      <c r="F23" t="str">
        <f>_xlfn.XLOOKUP(A23,Sheet1!I:I,Sheet1!H:H,0,,)</f>
        <v>已卸船/火车</v>
      </c>
      <c r="H23" t="str">
        <f t="shared" si="1"/>
        <v>KOCU4714466</v>
      </c>
      <c r="I23" t="s">
        <v>62</v>
      </c>
      <c r="K23" t="e">
        <f t="shared" si="0"/>
        <v>#N/A</v>
      </c>
      <c r="L23" t="s">
        <v>654</v>
      </c>
      <c r="M23" s="5">
        <v>46042</v>
      </c>
      <c r="N23" t="s">
        <v>655</v>
      </c>
      <c r="O23" t="s">
        <v>2789</v>
      </c>
      <c r="P23" t="s">
        <v>3403</v>
      </c>
      <c r="Q23" t="s">
        <v>3404</v>
      </c>
      <c r="R23" t="s">
        <v>861</v>
      </c>
      <c r="S23" t="s">
        <v>861</v>
      </c>
      <c r="T23" t="s">
        <v>3406</v>
      </c>
      <c r="U23" t="s">
        <v>3404</v>
      </c>
      <c r="V23" s="4">
        <v>46083</v>
      </c>
      <c r="W23" t="s">
        <v>3405</v>
      </c>
      <c r="X23" t="s">
        <v>3405</v>
      </c>
      <c r="Y23" t="s">
        <v>864</v>
      </c>
      <c r="AA23" s="4">
        <v>46080.440972222219</v>
      </c>
    </row>
    <row r="24" spans="1:27" x14ac:dyDescent="0.15">
      <c r="A24" s="12" t="s">
        <v>27</v>
      </c>
      <c r="B24" s="7" t="s">
        <v>10</v>
      </c>
      <c r="C24" s="13">
        <v>46080</v>
      </c>
      <c r="F24" t="str">
        <f>_xlfn.XLOOKUP(A24,Sheet1!I:I,Sheet1!H:H,0,,)</f>
        <v>已到目的港</v>
      </c>
      <c r="H24" t="str">
        <f t="shared" si="1"/>
        <v>KOCU5032943</v>
      </c>
      <c r="I24" t="s">
        <v>64</v>
      </c>
      <c r="K24" t="e">
        <f t="shared" si="0"/>
        <v>#N/A</v>
      </c>
      <c r="L24" t="s">
        <v>648</v>
      </c>
      <c r="M24" s="5">
        <v>46042</v>
      </c>
      <c r="N24" t="s">
        <v>649</v>
      </c>
      <c r="O24" t="s">
        <v>2786</v>
      </c>
      <c r="P24" t="s">
        <v>3403</v>
      </c>
      <c r="Q24" t="s">
        <v>3404</v>
      </c>
      <c r="R24" t="s">
        <v>861</v>
      </c>
      <c r="S24" t="s">
        <v>861</v>
      </c>
      <c r="T24" t="s">
        <v>3406</v>
      </c>
      <c r="U24" t="s">
        <v>3404</v>
      </c>
      <c r="V24" s="4">
        <v>46083</v>
      </c>
      <c r="W24" t="s">
        <v>3405</v>
      </c>
      <c r="X24" t="s">
        <v>3405</v>
      </c>
      <c r="Y24" t="s">
        <v>864</v>
      </c>
      <c r="AA24" s="4">
        <v>46080.440972222219</v>
      </c>
    </row>
    <row r="25" spans="1:27" x14ac:dyDescent="0.15">
      <c r="A25" s="14" t="s">
        <v>29</v>
      </c>
      <c r="B25" s="6" t="s">
        <v>10</v>
      </c>
      <c r="C25" s="15">
        <v>46080</v>
      </c>
      <c r="F25" t="str">
        <f>_xlfn.XLOOKUP(A25,Sheet1!I:I,Sheet1!H:H,0,,)</f>
        <v>已到目的港</v>
      </c>
      <c r="H25" t="str">
        <f t="shared" si="1"/>
        <v>KOCU5073074</v>
      </c>
      <c r="I25" t="s">
        <v>66</v>
      </c>
      <c r="K25" t="e">
        <f t="shared" si="0"/>
        <v>#N/A</v>
      </c>
      <c r="L25" t="s">
        <v>597</v>
      </c>
      <c r="M25" s="5">
        <v>46042</v>
      </c>
      <c r="N25" t="s">
        <v>598</v>
      </c>
      <c r="O25" t="s">
        <v>2783</v>
      </c>
      <c r="P25" t="s">
        <v>3403</v>
      </c>
      <c r="Q25" t="s">
        <v>3404</v>
      </c>
      <c r="R25" t="s">
        <v>861</v>
      </c>
      <c r="S25" t="s">
        <v>861</v>
      </c>
      <c r="T25" t="s">
        <v>3406</v>
      </c>
      <c r="U25" t="s">
        <v>3404</v>
      </c>
      <c r="V25" s="4">
        <v>46083</v>
      </c>
      <c r="W25" t="s">
        <v>3405</v>
      </c>
      <c r="X25" t="s">
        <v>3405</v>
      </c>
      <c r="Y25" t="s">
        <v>864</v>
      </c>
      <c r="AA25" s="4">
        <v>46080.440972222219</v>
      </c>
    </row>
    <row r="26" spans="1:27" x14ac:dyDescent="0.15">
      <c r="A26" s="12" t="s">
        <v>93</v>
      </c>
      <c r="B26" s="7" t="s">
        <v>10</v>
      </c>
      <c r="C26" s="13">
        <v>46080</v>
      </c>
      <c r="F26" t="str">
        <f>_xlfn.XLOOKUP(A26,Sheet1!I:I,Sheet1!H:H,0,,)</f>
        <v>已到目的港</v>
      </c>
      <c r="H26" t="str">
        <f t="shared" si="1"/>
        <v>KOCU5082923</v>
      </c>
      <c r="I26" t="s">
        <v>68</v>
      </c>
      <c r="K26" t="e">
        <f t="shared" si="0"/>
        <v>#N/A</v>
      </c>
      <c r="L26" t="s">
        <v>628</v>
      </c>
      <c r="M26" s="5">
        <v>46042</v>
      </c>
      <c r="N26" t="s">
        <v>629</v>
      </c>
      <c r="O26" t="s">
        <v>2778</v>
      </c>
      <c r="P26" t="s">
        <v>3403</v>
      </c>
      <c r="Q26" t="s">
        <v>3404</v>
      </c>
      <c r="R26" t="s">
        <v>861</v>
      </c>
      <c r="S26" t="s">
        <v>861</v>
      </c>
      <c r="T26" t="s">
        <v>3406</v>
      </c>
      <c r="U26" t="s">
        <v>3404</v>
      </c>
      <c r="V26" s="4">
        <v>46083</v>
      </c>
      <c r="W26" t="s">
        <v>3405</v>
      </c>
      <c r="X26" t="s">
        <v>3405</v>
      </c>
      <c r="Y26" t="s">
        <v>864</v>
      </c>
      <c r="AA26" s="4">
        <v>46080.440972222219</v>
      </c>
    </row>
    <row r="27" spans="1:27" x14ac:dyDescent="0.15">
      <c r="A27" s="14" t="s">
        <v>90</v>
      </c>
      <c r="B27" s="6" t="s">
        <v>10</v>
      </c>
      <c r="C27" s="15">
        <v>46079</v>
      </c>
      <c r="F27" t="str">
        <f>_xlfn.XLOOKUP(A27,Sheet1!I:I,Sheet1!H:H,0,,)</f>
        <v>已到目的港</v>
      </c>
      <c r="H27" t="str">
        <f t="shared" si="1"/>
        <v>MRKU2750203</v>
      </c>
      <c r="I27" t="s">
        <v>70</v>
      </c>
      <c r="K27" t="e">
        <f t="shared" si="0"/>
        <v>#N/A</v>
      </c>
      <c r="L27" t="s">
        <v>646</v>
      </c>
      <c r="M27" s="5">
        <v>46042</v>
      </c>
      <c r="N27" t="s">
        <v>647</v>
      </c>
      <c r="O27" t="s">
        <v>2771</v>
      </c>
      <c r="P27" t="s">
        <v>3403</v>
      </c>
      <c r="Q27" t="s">
        <v>3404</v>
      </c>
      <c r="R27" t="s">
        <v>861</v>
      </c>
      <c r="S27" t="s">
        <v>861</v>
      </c>
      <c r="T27" t="s">
        <v>3406</v>
      </c>
      <c r="U27" t="s">
        <v>3404</v>
      </c>
      <c r="V27" s="4">
        <v>46083</v>
      </c>
      <c r="W27" t="s">
        <v>3405</v>
      </c>
      <c r="X27" t="s">
        <v>3405</v>
      </c>
      <c r="Y27" t="s">
        <v>864</v>
      </c>
      <c r="AA27" s="4">
        <v>46080.443055555559</v>
      </c>
    </row>
    <row r="28" spans="1:27" x14ac:dyDescent="0.15">
      <c r="A28" s="12" t="s">
        <v>101</v>
      </c>
      <c r="B28" s="7" t="s">
        <v>10</v>
      </c>
      <c r="C28" s="13">
        <v>46079</v>
      </c>
      <c r="F28" t="str">
        <f>_xlfn.XLOOKUP(A28,Sheet1!I:I,Sheet1!H:H,0,,)</f>
        <v>已卸船/火车</v>
      </c>
      <c r="H28" t="str">
        <f t="shared" si="1"/>
        <v>MRKU4378672</v>
      </c>
      <c r="I28" t="s">
        <v>73</v>
      </c>
      <c r="K28" t="e">
        <f t="shared" si="0"/>
        <v>#N/A</v>
      </c>
      <c r="L28" t="s">
        <v>668</v>
      </c>
      <c r="M28" s="5">
        <v>46047</v>
      </c>
      <c r="N28" t="s">
        <v>669</v>
      </c>
      <c r="O28">
        <v>277629319</v>
      </c>
      <c r="P28" t="s">
        <v>3403</v>
      </c>
      <c r="Q28" t="s">
        <v>3404</v>
      </c>
      <c r="R28" t="s">
        <v>861</v>
      </c>
      <c r="S28" t="s">
        <v>861</v>
      </c>
      <c r="T28" t="s">
        <v>11</v>
      </c>
      <c r="U28" t="s">
        <v>3404</v>
      </c>
      <c r="V28" s="4">
        <v>46085.520833333336</v>
      </c>
      <c r="W28" t="s">
        <v>3405</v>
      </c>
      <c r="X28" t="s">
        <v>3405</v>
      </c>
      <c r="Y28" t="s">
        <v>864</v>
      </c>
      <c r="AA28" s="4">
        <v>46080.39166666667</v>
      </c>
    </row>
    <row r="29" spans="1:27" x14ac:dyDescent="0.15">
      <c r="A29" s="14" t="s">
        <v>105</v>
      </c>
      <c r="B29" s="6" t="s">
        <v>10</v>
      </c>
      <c r="C29" s="15">
        <v>46079</v>
      </c>
      <c r="F29" t="str">
        <f>_xlfn.XLOOKUP(A29,Sheet1!I:I,Sheet1!H:H,0,,)</f>
        <v>已到目的港</v>
      </c>
      <c r="H29" t="str">
        <f t="shared" si="1"/>
        <v>MRKU4501107</v>
      </c>
      <c r="I29" t="s">
        <v>75</v>
      </c>
      <c r="K29" t="e">
        <f t="shared" si="0"/>
        <v>#N/A</v>
      </c>
      <c r="L29" t="s">
        <v>656</v>
      </c>
      <c r="M29" s="5">
        <v>46047</v>
      </c>
      <c r="N29" t="s">
        <v>657</v>
      </c>
      <c r="O29">
        <v>277629318</v>
      </c>
      <c r="P29" t="s">
        <v>3403</v>
      </c>
      <c r="Q29" t="s">
        <v>3404</v>
      </c>
      <c r="R29" t="s">
        <v>861</v>
      </c>
      <c r="S29" t="s">
        <v>861</v>
      </c>
      <c r="T29" t="s">
        <v>11</v>
      </c>
      <c r="U29" t="s">
        <v>3404</v>
      </c>
      <c r="V29" s="4">
        <v>46085.520833333336</v>
      </c>
      <c r="W29" t="s">
        <v>3405</v>
      </c>
      <c r="X29" t="s">
        <v>3405</v>
      </c>
      <c r="Y29" t="s">
        <v>864</v>
      </c>
      <c r="AA29" s="4">
        <v>46080.39166666667</v>
      </c>
    </row>
    <row r="30" spans="1:27" x14ac:dyDescent="0.15">
      <c r="A30" s="12" t="s">
        <v>113</v>
      </c>
      <c r="B30" s="7" t="s">
        <v>10</v>
      </c>
      <c r="C30" s="13">
        <v>46079</v>
      </c>
      <c r="F30" t="str">
        <f>_xlfn.XLOOKUP(A30,Sheet1!I:I,Sheet1!H:H,0,,)</f>
        <v>已卸船/火车</v>
      </c>
      <c r="H30" t="str">
        <f t="shared" si="1"/>
        <v>MRKU5180737</v>
      </c>
      <c r="I30" t="s">
        <v>77</v>
      </c>
      <c r="K30" t="e">
        <f t="shared" si="0"/>
        <v>#N/A</v>
      </c>
      <c r="L30" t="s">
        <v>664</v>
      </c>
      <c r="M30" s="5">
        <v>46040</v>
      </c>
      <c r="N30" t="s">
        <v>665</v>
      </c>
      <c r="O30">
        <v>277629211</v>
      </c>
      <c r="P30" t="s">
        <v>3403</v>
      </c>
      <c r="Q30" t="s">
        <v>3404</v>
      </c>
      <c r="R30" t="s">
        <v>861</v>
      </c>
      <c r="S30" t="s">
        <v>861</v>
      </c>
      <c r="T30" t="s">
        <v>11</v>
      </c>
      <c r="U30" t="s">
        <v>3404</v>
      </c>
      <c r="V30" s="4">
        <v>46081.3125</v>
      </c>
      <c r="W30" t="s">
        <v>3405</v>
      </c>
      <c r="X30" t="s">
        <v>3405</v>
      </c>
      <c r="Y30" t="s">
        <v>864</v>
      </c>
      <c r="AA30" s="4">
        <v>46080.39166666667</v>
      </c>
    </row>
    <row r="31" spans="1:27" x14ac:dyDescent="0.15">
      <c r="A31" s="14" t="s">
        <v>70</v>
      </c>
      <c r="B31" s="6" t="s">
        <v>10</v>
      </c>
      <c r="C31" s="15">
        <v>46078</v>
      </c>
      <c r="F31" t="str">
        <f>_xlfn.XLOOKUP(A31,Sheet1!I:I,Sheet1!H:H,0,,)</f>
        <v>已卸船/火车</v>
      </c>
      <c r="H31" t="str">
        <f t="shared" si="1"/>
        <v>MRKU5557646</v>
      </c>
      <c r="I31" t="s">
        <v>79</v>
      </c>
      <c r="K31" t="e">
        <f t="shared" si="0"/>
        <v>#N/A</v>
      </c>
      <c r="L31" t="s">
        <v>658</v>
      </c>
      <c r="M31" s="5">
        <v>46040</v>
      </c>
      <c r="N31" t="s">
        <v>659</v>
      </c>
      <c r="O31">
        <v>277629212</v>
      </c>
      <c r="P31" t="s">
        <v>3403</v>
      </c>
      <c r="Q31" t="s">
        <v>3404</v>
      </c>
      <c r="R31" t="s">
        <v>861</v>
      </c>
      <c r="S31" t="s">
        <v>861</v>
      </c>
      <c r="T31" t="s">
        <v>11</v>
      </c>
      <c r="U31" t="s">
        <v>3404</v>
      </c>
      <c r="V31" s="4">
        <v>46081.3125</v>
      </c>
      <c r="W31" t="s">
        <v>3405</v>
      </c>
      <c r="X31" t="s">
        <v>3405</v>
      </c>
      <c r="Y31" t="s">
        <v>864</v>
      </c>
      <c r="AA31" s="4">
        <v>46080.39166666667</v>
      </c>
    </row>
    <row r="32" spans="1:27" x14ac:dyDescent="0.15">
      <c r="A32" s="12" t="s">
        <v>77</v>
      </c>
      <c r="B32" s="7" t="s">
        <v>10</v>
      </c>
      <c r="C32" s="13">
        <v>46078</v>
      </c>
      <c r="F32" t="str">
        <f>_xlfn.XLOOKUP(A32,Sheet1!I:I,Sheet1!H:H,0,,)</f>
        <v>已卸船/火车</v>
      </c>
      <c r="H32" t="str">
        <f t="shared" si="1"/>
        <v>MRSU3186214</v>
      </c>
      <c r="I32" t="s">
        <v>82</v>
      </c>
      <c r="K32" t="e">
        <f t="shared" si="0"/>
        <v>#N/A</v>
      </c>
      <c r="L32" t="s">
        <v>644</v>
      </c>
      <c r="M32" s="5">
        <v>46041</v>
      </c>
      <c r="N32" t="s">
        <v>645</v>
      </c>
      <c r="O32">
        <v>277629214</v>
      </c>
      <c r="P32" t="s">
        <v>3403</v>
      </c>
      <c r="Q32" t="s">
        <v>3404</v>
      </c>
      <c r="R32" t="s">
        <v>861</v>
      </c>
      <c r="S32" t="s">
        <v>861</v>
      </c>
      <c r="T32" t="s">
        <v>11</v>
      </c>
      <c r="U32" t="s">
        <v>3404</v>
      </c>
      <c r="V32" s="4">
        <v>46081.3125</v>
      </c>
      <c r="W32" t="s">
        <v>3405</v>
      </c>
      <c r="X32" t="s">
        <v>3405</v>
      </c>
      <c r="Y32" t="s">
        <v>864</v>
      </c>
      <c r="AA32" s="4">
        <v>46080.39166666667</v>
      </c>
    </row>
    <row r="33" spans="1:27" x14ac:dyDescent="0.15">
      <c r="A33" s="14" t="s">
        <v>18</v>
      </c>
      <c r="B33" s="6" t="s">
        <v>10</v>
      </c>
      <c r="C33" s="15">
        <v>46077</v>
      </c>
      <c r="F33" t="str">
        <f>_xlfn.XLOOKUP(A33,Sheet1!I:I,Sheet1!H:H,0,,)</f>
        <v>已卸船/火车</v>
      </c>
      <c r="H33" t="str">
        <f t="shared" si="1"/>
        <v>MRSU4494227</v>
      </c>
      <c r="I33" t="s">
        <v>84</v>
      </c>
      <c r="K33" t="e">
        <f t="shared" si="0"/>
        <v>#N/A</v>
      </c>
      <c r="L33" t="s">
        <v>638</v>
      </c>
      <c r="M33" s="5">
        <v>46047</v>
      </c>
      <c r="N33" t="s">
        <v>639</v>
      </c>
      <c r="O33">
        <v>277629217</v>
      </c>
      <c r="P33" t="s">
        <v>3403</v>
      </c>
      <c r="Q33" t="s">
        <v>3404</v>
      </c>
      <c r="R33" t="s">
        <v>861</v>
      </c>
      <c r="S33" t="s">
        <v>861</v>
      </c>
      <c r="T33" t="s">
        <v>11</v>
      </c>
      <c r="U33" t="s">
        <v>3404</v>
      </c>
      <c r="V33" s="4">
        <v>46085.520833333336</v>
      </c>
      <c r="W33" t="s">
        <v>3405</v>
      </c>
      <c r="X33" t="s">
        <v>3405</v>
      </c>
      <c r="Y33" t="s">
        <v>864</v>
      </c>
      <c r="AA33" s="4">
        <v>46080.39166666667</v>
      </c>
    </row>
    <row r="34" spans="1:27" x14ac:dyDescent="0.15">
      <c r="A34" s="12" t="s">
        <v>35</v>
      </c>
      <c r="B34" s="7" t="s">
        <v>10</v>
      </c>
      <c r="C34" s="13">
        <v>46077</v>
      </c>
      <c r="F34" t="str">
        <f>_xlfn.XLOOKUP(A34,Sheet1!I:I,Sheet1!H:H,0,,)</f>
        <v>已卸船/火车</v>
      </c>
      <c r="H34" t="str">
        <f t="shared" si="1"/>
        <v>MRSU8517995</v>
      </c>
      <c r="I34" t="s">
        <v>86</v>
      </c>
      <c r="K34" t="e">
        <f t="shared" si="0"/>
        <v>#N/A</v>
      </c>
      <c r="L34" t="s">
        <v>632</v>
      </c>
      <c r="M34" s="5">
        <v>46047</v>
      </c>
      <c r="N34" t="s">
        <v>633</v>
      </c>
      <c r="O34">
        <v>277629216</v>
      </c>
      <c r="P34" t="s">
        <v>3403</v>
      </c>
      <c r="Q34" t="s">
        <v>3404</v>
      </c>
      <c r="R34" t="s">
        <v>861</v>
      </c>
      <c r="S34" t="s">
        <v>861</v>
      </c>
      <c r="T34" t="s">
        <v>11</v>
      </c>
      <c r="U34" t="s">
        <v>3404</v>
      </c>
      <c r="V34" s="4">
        <v>46085.520833333336</v>
      </c>
      <c r="W34" t="s">
        <v>3405</v>
      </c>
      <c r="X34" t="s">
        <v>3405</v>
      </c>
      <c r="Y34" t="s">
        <v>864</v>
      </c>
      <c r="AA34" s="4">
        <v>46080.39166666667</v>
      </c>
    </row>
    <row r="35" spans="1:27" x14ac:dyDescent="0.15">
      <c r="A35" s="14" t="s">
        <v>40</v>
      </c>
      <c r="B35" s="6" t="s">
        <v>10</v>
      </c>
      <c r="C35" s="15">
        <v>46077</v>
      </c>
      <c r="F35" t="str">
        <f>_xlfn.XLOOKUP(A35,Sheet1!I:I,Sheet1!H:H,0,,)</f>
        <v>已卸船/火车</v>
      </c>
      <c r="H35" t="str">
        <f t="shared" si="1"/>
        <v>MRSU8794834</v>
      </c>
      <c r="I35" t="s">
        <v>88</v>
      </c>
      <c r="K35" t="e">
        <f t="shared" si="0"/>
        <v>#N/A</v>
      </c>
      <c r="L35" t="s">
        <v>636</v>
      </c>
      <c r="M35" s="5">
        <v>46047</v>
      </c>
      <c r="N35" t="s">
        <v>637</v>
      </c>
      <c r="O35">
        <v>277629220</v>
      </c>
      <c r="P35" t="s">
        <v>3403</v>
      </c>
      <c r="Q35" t="s">
        <v>3404</v>
      </c>
      <c r="R35" t="s">
        <v>861</v>
      </c>
      <c r="S35" t="s">
        <v>861</v>
      </c>
      <c r="T35" t="s">
        <v>11</v>
      </c>
      <c r="U35" t="s">
        <v>3404</v>
      </c>
      <c r="V35" s="4">
        <v>46085.520833333336</v>
      </c>
      <c r="W35" t="s">
        <v>3405</v>
      </c>
      <c r="X35" t="s">
        <v>3405</v>
      </c>
      <c r="Y35" t="s">
        <v>864</v>
      </c>
      <c r="AA35" s="4">
        <v>46080.39166666667</v>
      </c>
    </row>
    <row r="36" spans="1:27" x14ac:dyDescent="0.15">
      <c r="A36" s="12" t="s">
        <v>56</v>
      </c>
      <c r="B36" s="7" t="s">
        <v>10</v>
      </c>
      <c r="C36" s="13">
        <v>46077</v>
      </c>
      <c r="F36" t="str">
        <f>_xlfn.XLOOKUP(A36,Sheet1!I:I,Sheet1!H:H,0,,)</f>
        <v>已卸船/火车</v>
      </c>
      <c r="H36" t="str">
        <f t="shared" si="1"/>
        <v>MRSU9475512</v>
      </c>
      <c r="I36" t="s">
        <v>90</v>
      </c>
      <c r="K36" t="e">
        <f t="shared" si="0"/>
        <v>#N/A</v>
      </c>
      <c r="L36" t="s">
        <v>642</v>
      </c>
      <c r="M36" s="5">
        <v>46047</v>
      </c>
      <c r="N36" t="s">
        <v>643</v>
      </c>
      <c r="O36">
        <v>277629218</v>
      </c>
      <c r="P36" t="s">
        <v>3403</v>
      </c>
      <c r="Q36" t="s">
        <v>3404</v>
      </c>
      <c r="R36" t="s">
        <v>861</v>
      </c>
      <c r="S36" t="s">
        <v>861</v>
      </c>
      <c r="T36" t="s">
        <v>11</v>
      </c>
      <c r="U36" t="s">
        <v>3404</v>
      </c>
      <c r="V36" s="4">
        <v>46085.520833333336</v>
      </c>
      <c r="W36" t="s">
        <v>3405</v>
      </c>
      <c r="X36" t="s">
        <v>3405</v>
      </c>
      <c r="Y36" t="s">
        <v>864</v>
      </c>
      <c r="AA36" s="4">
        <v>46080.39166666667</v>
      </c>
    </row>
    <row r="37" spans="1:27" x14ac:dyDescent="0.15">
      <c r="A37" s="14" t="s">
        <v>64</v>
      </c>
      <c r="B37" s="6" t="s">
        <v>10</v>
      </c>
      <c r="C37" s="15">
        <v>46077</v>
      </c>
      <c r="F37" t="str">
        <f>_xlfn.XLOOKUP(A37,Sheet1!I:I,Sheet1!H:H,0,,)</f>
        <v>已卸船/火车</v>
      </c>
      <c r="H37" t="str">
        <f t="shared" si="1"/>
        <v>MSKU0627486</v>
      </c>
      <c r="I37" t="s">
        <v>93</v>
      </c>
      <c r="K37" t="e">
        <f t="shared" si="0"/>
        <v>#N/A</v>
      </c>
      <c r="L37" t="s">
        <v>599</v>
      </c>
      <c r="M37" s="5">
        <v>46040</v>
      </c>
      <c r="N37" t="s">
        <v>601</v>
      </c>
      <c r="O37">
        <v>277629213</v>
      </c>
      <c r="P37" t="s">
        <v>3403</v>
      </c>
      <c r="Q37" t="s">
        <v>3404</v>
      </c>
      <c r="R37" t="s">
        <v>861</v>
      </c>
      <c r="S37" t="s">
        <v>861</v>
      </c>
      <c r="T37" t="s">
        <v>11</v>
      </c>
      <c r="U37" t="s">
        <v>3404</v>
      </c>
      <c r="V37" s="4">
        <v>46081.3125</v>
      </c>
      <c r="W37" t="s">
        <v>3405</v>
      </c>
      <c r="X37" t="s">
        <v>3405</v>
      </c>
      <c r="Y37" t="s">
        <v>864</v>
      </c>
      <c r="AA37" s="4">
        <v>46080.39166666667</v>
      </c>
    </row>
    <row r="38" spans="1:27" x14ac:dyDescent="0.15">
      <c r="A38" s="12" t="s">
        <v>66</v>
      </c>
      <c r="B38" s="7" t="s">
        <v>10</v>
      </c>
      <c r="C38" s="13">
        <v>46077</v>
      </c>
      <c r="F38" t="str">
        <f>_xlfn.XLOOKUP(A38,Sheet1!I:I,Sheet1!H:H,0,,)</f>
        <v>已卸船/火车</v>
      </c>
      <c r="H38" t="str">
        <f t="shared" si="1"/>
        <v>MSKU1739536</v>
      </c>
      <c r="I38" t="s">
        <v>95</v>
      </c>
      <c r="K38" t="e">
        <f t="shared" si="0"/>
        <v>#N/A</v>
      </c>
      <c r="L38" t="s">
        <v>626</v>
      </c>
      <c r="M38" s="5">
        <v>46042</v>
      </c>
      <c r="N38" t="s">
        <v>627</v>
      </c>
      <c r="O38">
        <v>265105671</v>
      </c>
      <c r="P38" t="s">
        <v>3403</v>
      </c>
      <c r="Q38" t="s">
        <v>3404</v>
      </c>
      <c r="R38" t="s">
        <v>861</v>
      </c>
      <c r="S38" t="s">
        <v>861</v>
      </c>
      <c r="T38" t="s">
        <v>11</v>
      </c>
      <c r="U38" t="s">
        <v>3404</v>
      </c>
      <c r="V38" s="4">
        <v>46083.291666666664</v>
      </c>
      <c r="W38" t="s">
        <v>3405</v>
      </c>
      <c r="X38" t="s">
        <v>3405</v>
      </c>
      <c r="Y38" t="s">
        <v>864</v>
      </c>
      <c r="AA38" s="4">
        <v>46080.440972222219</v>
      </c>
    </row>
    <row r="39" spans="1:27" x14ac:dyDescent="0.15">
      <c r="A39" s="14" t="s">
        <v>95</v>
      </c>
      <c r="B39" s="6" t="s">
        <v>10</v>
      </c>
      <c r="C39" s="15">
        <v>46077</v>
      </c>
      <c r="F39" t="str">
        <f>_xlfn.XLOOKUP(A39,Sheet1!I:I,Sheet1!H:H,0,,)</f>
        <v>已卸船/火车</v>
      </c>
      <c r="H39" t="str">
        <f t="shared" si="1"/>
        <v>MSKU9347315</v>
      </c>
      <c r="I39" t="s">
        <v>97</v>
      </c>
      <c r="K39" t="e">
        <f t="shared" si="0"/>
        <v>#N/A</v>
      </c>
      <c r="L39" t="s">
        <v>662</v>
      </c>
      <c r="M39" s="5">
        <v>46046</v>
      </c>
      <c r="N39" t="s">
        <v>663</v>
      </c>
      <c r="O39" t="s">
        <v>2713</v>
      </c>
      <c r="P39" t="s">
        <v>3403</v>
      </c>
      <c r="Q39" t="s">
        <v>3404</v>
      </c>
      <c r="R39" t="s">
        <v>861</v>
      </c>
      <c r="S39" t="s">
        <v>861</v>
      </c>
      <c r="T39" t="s">
        <v>15</v>
      </c>
      <c r="U39" t="s">
        <v>3404</v>
      </c>
      <c r="V39" s="4">
        <v>46082.25</v>
      </c>
      <c r="W39" t="s">
        <v>3405</v>
      </c>
      <c r="X39" t="s">
        <v>3405</v>
      </c>
      <c r="Y39" t="s">
        <v>864</v>
      </c>
      <c r="AA39" s="4">
        <v>46080.443055555559</v>
      </c>
    </row>
    <row r="40" spans="1:27" x14ac:dyDescent="0.15">
      <c r="A40" s="12" t="s">
        <v>97</v>
      </c>
      <c r="B40" s="7" t="s">
        <v>10</v>
      </c>
      <c r="C40" s="13">
        <v>46077</v>
      </c>
      <c r="F40" t="str">
        <f>_xlfn.XLOOKUP(A40,Sheet1!I:I,Sheet1!H:H,0,,)</f>
        <v>已卸船/火车</v>
      </c>
      <c r="H40" t="str">
        <f t="shared" si="1"/>
        <v>MSMU6370164</v>
      </c>
      <c r="I40" t="s">
        <v>99</v>
      </c>
      <c r="K40" t="e">
        <f t="shared" si="0"/>
        <v>#N/A</v>
      </c>
      <c r="L40" t="s">
        <v>624</v>
      </c>
      <c r="M40" s="5">
        <v>46046</v>
      </c>
      <c r="N40" t="s">
        <v>625</v>
      </c>
      <c r="O40" t="s">
        <v>2708</v>
      </c>
      <c r="P40" t="s">
        <v>3403</v>
      </c>
      <c r="Q40" t="s">
        <v>3404</v>
      </c>
      <c r="R40" t="s">
        <v>861</v>
      </c>
      <c r="S40" t="s">
        <v>861</v>
      </c>
      <c r="T40" t="s">
        <v>15</v>
      </c>
      <c r="U40" t="s">
        <v>3404</v>
      </c>
      <c r="V40" s="4">
        <v>46082.25</v>
      </c>
      <c r="W40" t="s">
        <v>3405</v>
      </c>
      <c r="X40" t="s">
        <v>3405</v>
      </c>
      <c r="Y40" t="s">
        <v>864</v>
      </c>
      <c r="AA40" s="4">
        <v>46080.443055555559</v>
      </c>
    </row>
    <row r="41" spans="1:27" x14ac:dyDescent="0.15">
      <c r="A41" s="14" t="s">
        <v>99</v>
      </c>
      <c r="B41" s="6" t="s">
        <v>10</v>
      </c>
      <c r="C41" s="15">
        <v>46077</v>
      </c>
      <c r="F41" t="str">
        <f>_xlfn.XLOOKUP(A41,Sheet1!I:I,Sheet1!H:H,0,,)</f>
        <v>已卸船/火车</v>
      </c>
      <c r="H41" t="str">
        <f t="shared" si="1"/>
        <v>MSNU5178675</v>
      </c>
      <c r="I41" t="s">
        <v>101</v>
      </c>
      <c r="K41" t="e">
        <f t="shared" si="0"/>
        <v>#N/A</v>
      </c>
      <c r="L41" t="s">
        <v>705</v>
      </c>
      <c r="M41" s="5">
        <v>46051</v>
      </c>
      <c r="N41" t="s">
        <v>706</v>
      </c>
      <c r="O41" t="s">
        <v>2670</v>
      </c>
      <c r="P41" t="s">
        <v>3403</v>
      </c>
      <c r="Q41" t="s">
        <v>3404</v>
      </c>
      <c r="R41" t="s">
        <v>861</v>
      </c>
      <c r="S41" t="s">
        <v>861</v>
      </c>
      <c r="T41" t="s">
        <v>15</v>
      </c>
      <c r="U41" t="s">
        <v>3404</v>
      </c>
      <c r="V41" s="4">
        <v>46086.666666666664</v>
      </c>
      <c r="W41" t="s">
        <v>3405</v>
      </c>
      <c r="X41" t="s">
        <v>3405</v>
      </c>
      <c r="Y41" t="s">
        <v>864</v>
      </c>
      <c r="AA41" s="4">
        <v>46080.443055555559</v>
      </c>
    </row>
    <row r="42" spans="1:27" x14ac:dyDescent="0.15">
      <c r="A42" s="12" t="s">
        <v>9</v>
      </c>
      <c r="B42" s="7" t="s">
        <v>10</v>
      </c>
      <c r="C42" s="13">
        <v>46076</v>
      </c>
      <c r="F42" t="str">
        <f>_xlfn.XLOOKUP(A42,Sheet1!I:I,Sheet1!H:H,0,,)</f>
        <v>已卸船/火车</v>
      </c>
      <c r="H42" t="str">
        <f t="shared" si="1"/>
        <v>TEMU7307910</v>
      </c>
      <c r="I42" t="s">
        <v>103</v>
      </c>
      <c r="K42" t="e">
        <f t="shared" si="0"/>
        <v>#N/A</v>
      </c>
      <c r="L42" t="s">
        <v>701</v>
      </c>
      <c r="M42" s="5">
        <v>46051</v>
      </c>
      <c r="N42" t="s">
        <v>702</v>
      </c>
      <c r="O42" t="s">
        <v>2667</v>
      </c>
      <c r="P42" t="s">
        <v>3403</v>
      </c>
      <c r="Q42" t="s">
        <v>3404</v>
      </c>
      <c r="R42" t="s">
        <v>861</v>
      </c>
      <c r="S42" t="s">
        <v>861</v>
      </c>
      <c r="T42" t="s">
        <v>15</v>
      </c>
      <c r="U42" t="s">
        <v>3404</v>
      </c>
      <c r="V42" s="4">
        <v>46086.666666666664</v>
      </c>
      <c r="W42" t="s">
        <v>3405</v>
      </c>
      <c r="X42" t="s">
        <v>3405</v>
      </c>
      <c r="Y42" t="s">
        <v>864</v>
      </c>
      <c r="AA42" s="4">
        <v>46080.443055555559</v>
      </c>
    </row>
    <row r="43" spans="1:27" x14ac:dyDescent="0.15">
      <c r="A43" s="14" t="s">
        <v>75</v>
      </c>
      <c r="B43" s="6" t="s">
        <v>10</v>
      </c>
      <c r="C43" s="15">
        <v>46076</v>
      </c>
      <c r="F43" t="str">
        <f>_xlfn.XLOOKUP(A43,Sheet1!I:I,Sheet1!H:H,0,,)</f>
        <v>已卸船/火车</v>
      </c>
      <c r="H43" t="str">
        <f t="shared" si="1"/>
        <v>TGBU6878468</v>
      </c>
      <c r="I43" t="s">
        <v>105</v>
      </c>
      <c r="K43" t="e">
        <f t="shared" si="0"/>
        <v>#N/A</v>
      </c>
      <c r="L43" t="s">
        <v>697</v>
      </c>
      <c r="M43" s="5">
        <v>46051</v>
      </c>
      <c r="N43" t="s">
        <v>698</v>
      </c>
      <c r="O43" t="s">
        <v>2665</v>
      </c>
      <c r="P43" t="s">
        <v>3403</v>
      </c>
      <c r="Q43" t="s">
        <v>3404</v>
      </c>
      <c r="R43" t="s">
        <v>861</v>
      </c>
      <c r="S43" t="s">
        <v>861</v>
      </c>
      <c r="T43" t="s">
        <v>15</v>
      </c>
      <c r="U43" t="s">
        <v>3404</v>
      </c>
      <c r="V43" s="4">
        <v>46086.666666666664</v>
      </c>
      <c r="W43" t="s">
        <v>3405</v>
      </c>
      <c r="X43" t="s">
        <v>3405</v>
      </c>
      <c r="Y43" t="s">
        <v>864</v>
      </c>
      <c r="AA43" s="4">
        <v>46080.443055555559</v>
      </c>
    </row>
    <row r="44" spans="1:27" x14ac:dyDescent="0.15">
      <c r="A44" s="16" t="s">
        <v>82</v>
      </c>
      <c r="B44" s="8" t="s">
        <v>10</v>
      </c>
      <c r="C44" s="17">
        <v>46076</v>
      </c>
      <c r="F44" t="str">
        <f>_xlfn.XLOOKUP(A44,Sheet1!I:I,Sheet1!H:H,0,,)</f>
        <v>已卸船/火车</v>
      </c>
      <c r="H44" t="str">
        <f t="shared" si="1"/>
        <v>TLLU5814475</v>
      </c>
      <c r="I44" t="s">
        <v>107</v>
      </c>
      <c r="K44" t="e">
        <f t="shared" si="0"/>
        <v>#N/A</v>
      </c>
      <c r="L44" t="s">
        <v>711</v>
      </c>
      <c r="M44" s="5">
        <v>46051</v>
      </c>
      <c r="N44" t="s">
        <v>712</v>
      </c>
      <c r="O44" t="s">
        <v>2663</v>
      </c>
      <c r="P44" t="s">
        <v>3403</v>
      </c>
      <c r="Q44" t="s">
        <v>3404</v>
      </c>
      <c r="R44" t="s">
        <v>861</v>
      </c>
      <c r="S44" t="s">
        <v>861</v>
      </c>
      <c r="T44" t="s">
        <v>15</v>
      </c>
      <c r="U44" t="s">
        <v>3404</v>
      </c>
      <c r="V44" s="4">
        <v>46086.666666666664</v>
      </c>
      <c r="W44" t="s">
        <v>3405</v>
      </c>
      <c r="X44" t="s">
        <v>3405</v>
      </c>
      <c r="Y44" t="s">
        <v>864</v>
      </c>
      <c r="AA44" s="4">
        <v>46080.443055555559</v>
      </c>
    </row>
    <row r="45" spans="1:27" x14ac:dyDescent="0.15">
      <c r="A45" s="14" t="s">
        <v>84</v>
      </c>
      <c r="B45" s="6" t="s">
        <v>10</v>
      </c>
      <c r="C45" s="15">
        <v>46076</v>
      </c>
      <c r="F45" t="str">
        <f>_xlfn.XLOOKUP(A45,Sheet1!I:I,Sheet1!H:H,0,,)</f>
        <v>已卸船/火车</v>
      </c>
      <c r="H45" t="str">
        <f t="shared" si="1"/>
        <v>TXGU7910130</v>
      </c>
      <c r="I45" t="s">
        <v>109</v>
      </c>
      <c r="K45" t="e">
        <f t="shared" si="0"/>
        <v>#N/A</v>
      </c>
      <c r="L45" t="s">
        <v>713</v>
      </c>
      <c r="M45" s="5">
        <v>46051</v>
      </c>
      <c r="N45" t="s">
        <v>714</v>
      </c>
      <c r="O45" t="s">
        <v>2659</v>
      </c>
      <c r="P45" t="s">
        <v>3403</v>
      </c>
      <c r="Q45" t="s">
        <v>3404</v>
      </c>
      <c r="R45" t="s">
        <v>861</v>
      </c>
      <c r="S45" t="s">
        <v>861</v>
      </c>
      <c r="T45" t="s">
        <v>15</v>
      </c>
      <c r="U45" t="s">
        <v>3404</v>
      </c>
      <c r="V45" s="4">
        <v>46086.666666666664</v>
      </c>
      <c r="W45" t="s">
        <v>3405</v>
      </c>
      <c r="X45" t="s">
        <v>3405</v>
      </c>
      <c r="Y45" t="s">
        <v>864</v>
      </c>
      <c r="AA45" s="4">
        <v>46080.443055555559</v>
      </c>
    </row>
    <row r="46" spans="1:27" ht="14.25" thickBot="1" x14ac:dyDescent="0.2">
      <c r="A46" s="18" t="s">
        <v>79</v>
      </c>
      <c r="B46" s="19" t="s">
        <v>10</v>
      </c>
      <c r="C46" s="20">
        <v>46072</v>
      </c>
      <c r="F46" t="str">
        <f>_xlfn.XLOOKUP(A46,Sheet1!I:I,Sheet1!H:H,0,,)</f>
        <v>已卸船/火车</v>
      </c>
      <c r="H46" t="str">
        <f t="shared" si="1"/>
        <v>TXGU8539620</v>
      </c>
      <c r="I46" t="s">
        <v>111</v>
      </c>
    </row>
    <row r="47" spans="1:27" x14ac:dyDescent="0.15">
      <c r="H47" t="str">
        <f t="shared" si="1"/>
        <v>UETU7804928</v>
      </c>
      <c r="I47" t="s">
        <v>113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6957-7F48-4C7F-8DFB-32953B35C9AB}">
  <dimension ref="A1:CT351"/>
  <sheetViews>
    <sheetView topLeftCell="A329" workbookViewId="0">
      <selection activeCell="D359" sqref="D359"/>
    </sheetView>
  </sheetViews>
  <sheetFormatPr defaultRowHeight="13.5" x14ac:dyDescent="0.15"/>
  <cols>
    <col min="8" max="8" width="14.75" customWidth="1"/>
    <col min="10" max="28" width="0" hidden="1" customWidth="1"/>
    <col min="29" max="29" width="16.25" hidden="1" customWidth="1"/>
    <col min="30" max="30" width="18.25" hidden="1" customWidth="1"/>
    <col min="31" max="31" width="17.125" hidden="1" customWidth="1"/>
    <col min="32" max="32" width="23.25" hidden="1" customWidth="1"/>
    <col min="33" max="33" width="29.5" hidden="1" customWidth="1"/>
    <col min="34" max="34" width="33.125" hidden="1" customWidth="1"/>
    <col min="35" max="52" width="0" hidden="1" customWidth="1"/>
    <col min="53" max="53" width="26.875" hidden="1" customWidth="1"/>
    <col min="54" max="54" width="21" customWidth="1"/>
  </cols>
  <sheetData>
    <row r="1" spans="1:98" s="21" customFormat="1" ht="49.5" customHeight="1" x14ac:dyDescent="0.15">
      <c r="A1" s="21" t="s">
        <v>769</v>
      </c>
      <c r="B1" s="21" t="s">
        <v>770</v>
      </c>
      <c r="C1" s="21" t="s">
        <v>6</v>
      </c>
      <c r="E1" s="21" t="s">
        <v>771</v>
      </c>
      <c r="F1" s="21" t="s">
        <v>772</v>
      </c>
      <c r="G1" s="21" t="s">
        <v>773</v>
      </c>
      <c r="H1" s="21" t="s">
        <v>2</v>
      </c>
      <c r="I1" s="21" t="s">
        <v>1</v>
      </c>
      <c r="J1" s="21" t="s">
        <v>774</v>
      </c>
      <c r="K1" s="21" t="s">
        <v>775</v>
      </c>
      <c r="L1" s="21" t="s">
        <v>776</v>
      </c>
      <c r="M1" s="21" t="s">
        <v>777</v>
      </c>
      <c r="N1" s="21" t="s">
        <v>778</v>
      </c>
      <c r="O1" s="21" t="s">
        <v>779</v>
      </c>
      <c r="P1" s="21" t="s">
        <v>780</v>
      </c>
      <c r="Q1" s="21" t="s">
        <v>3</v>
      </c>
      <c r="R1" s="21" t="s">
        <v>781</v>
      </c>
      <c r="S1" s="21" t="s">
        <v>782</v>
      </c>
      <c r="T1" s="21" t="s">
        <v>783</v>
      </c>
      <c r="U1" s="21" t="s">
        <v>784</v>
      </c>
      <c r="V1" s="21" t="s">
        <v>7</v>
      </c>
      <c r="W1" s="21" t="s">
        <v>785</v>
      </c>
      <c r="X1" s="21" t="s">
        <v>786</v>
      </c>
      <c r="Y1" s="21" t="s">
        <v>787</v>
      </c>
      <c r="Z1" s="21" t="s">
        <v>788</v>
      </c>
      <c r="AA1" s="21" t="s">
        <v>789</v>
      </c>
      <c r="AB1" s="21" t="s">
        <v>790</v>
      </c>
      <c r="AC1" s="21" t="s">
        <v>791</v>
      </c>
      <c r="AD1" s="21" t="s">
        <v>792</v>
      </c>
      <c r="AE1" s="21" t="s">
        <v>793</v>
      </c>
      <c r="AF1" s="21" t="s">
        <v>794</v>
      </c>
      <c r="AG1" s="21" t="s">
        <v>795</v>
      </c>
      <c r="AH1" s="21" t="s">
        <v>796</v>
      </c>
      <c r="AI1" s="21" t="s">
        <v>797</v>
      </c>
      <c r="AJ1" s="21" t="s">
        <v>798</v>
      </c>
      <c r="AK1" s="21" t="s">
        <v>799</v>
      </c>
      <c r="AL1" s="21" t="s">
        <v>800</v>
      </c>
      <c r="AM1" s="21" t="s">
        <v>801</v>
      </c>
      <c r="AN1" s="21" t="s">
        <v>802</v>
      </c>
      <c r="AO1" s="21" t="s">
        <v>803</v>
      </c>
      <c r="AP1" s="21" t="s">
        <v>804</v>
      </c>
      <c r="AQ1" s="21" t="s">
        <v>805</v>
      </c>
      <c r="AR1" s="21" t="s">
        <v>806</v>
      </c>
      <c r="AS1" s="21" t="s">
        <v>807</v>
      </c>
      <c r="AT1" s="21" t="s">
        <v>808</v>
      </c>
      <c r="AU1" s="21" t="s">
        <v>809</v>
      </c>
      <c r="AV1" s="21" t="s">
        <v>810</v>
      </c>
      <c r="AW1" s="21" t="s">
        <v>811</v>
      </c>
      <c r="AX1" s="21" t="s">
        <v>812</v>
      </c>
      <c r="AY1" s="21" t="s">
        <v>813</v>
      </c>
      <c r="AZ1" s="21" t="s">
        <v>814</v>
      </c>
      <c r="BA1" s="21" t="s">
        <v>815</v>
      </c>
      <c r="BB1" s="21" t="s">
        <v>816</v>
      </c>
      <c r="BC1" s="21" t="s">
        <v>817</v>
      </c>
      <c r="BD1" s="21" t="s">
        <v>818</v>
      </c>
      <c r="BE1" s="21" t="s">
        <v>819</v>
      </c>
      <c r="BF1" s="21" t="s">
        <v>820</v>
      </c>
      <c r="BG1" s="21" t="s">
        <v>821</v>
      </c>
      <c r="BH1" s="21" t="s">
        <v>822</v>
      </c>
      <c r="BI1" s="21" t="s">
        <v>823</v>
      </c>
      <c r="BJ1" s="21" t="s">
        <v>824</v>
      </c>
      <c r="BK1" s="21" t="s">
        <v>825</v>
      </c>
      <c r="BL1" s="21" t="s">
        <v>826</v>
      </c>
      <c r="BM1" s="21" t="s">
        <v>827</v>
      </c>
      <c r="BN1" s="21" t="s">
        <v>828</v>
      </c>
      <c r="BO1" s="21" t="s">
        <v>829</v>
      </c>
      <c r="BP1" s="21" t="s">
        <v>830</v>
      </c>
      <c r="BQ1" s="21" t="s">
        <v>831</v>
      </c>
      <c r="BR1" s="21" t="s">
        <v>832</v>
      </c>
      <c r="BS1" s="21" t="s">
        <v>833</v>
      </c>
      <c r="BT1" s="21" t="s">
        <v>834</v>
      </c>
      <c r="BU1" s="21" t="s">
        <v>835</v>
      </c>
      <c r="BV1" s="21" t="s">
        <v>836</v>
      </c>
      <c r="BW1" s="21" t="s">
        <v>837</v>
      </c>
      <c r="BX1" s="21" t="s">
        <v>838</v>
      </c>
      <c r="BY1" s="21" t="s">
        <v>839</v>
      </c>
      <c r="BZ1" s="21" t="s">
        <v>840</v>
      </c>
      <c r="CA1" s="21" t="s">
        <v>841</v>
      </c>
      <c r="CB1" s="21" t="s">
        <v>842</v>
      </c>
      <c r="CC1" s="21" t="s">
        <v>843</v>
      </c>
      <c r="CD1" s="21" t="s">
        <v>844</v>
      </c>
      <c r="CE1" s="21" t="s">
        <v>845</v>
      </c>
      <c r="CF1" s="21" t="s">
        <v>846</v>
      </c>
      <c r="CG1" s="21" t="s">
        <v>847</v>
      </c>
      <c r="CH1" s="21" t="s">
        <v>848</v>
      </c>
      <c r="CI1" s="21" t="s">
        <v>849</v>
      </c>
      <c r="CJ1" s="21" t="s">
        <v>850</v>
      </c>
      <c r="CK1" s="21" t="s">
        <v>851</v>
      </c>
      <c r="CL1" s="21" t="s">
        <v>852</v>
      </c>
      <c r="CM1" s="21" t="s">
        <v>853</v>
      </c>
      <c r="CN1" s="21" t="s">
        <v>854</v>
      </c>
      <c r="CO1" s="21" t="s">
        <v>855</v>
      </c>
      <c r="CP1" s="21" t="s">
        <v>856</v>
      </c>
      <c r="CQ1" s="21" t="s">
        <v>857</v>
      </c>
      <c r="CR1" s="21" t="s">
        <v>858</v>
      </c>
      <c r="CS1" s="21" t="s">
        <v>859</v>
      </c>
      <c r="CT1" s="21" t="s">
        <v>860</v>
      </c>
    </row>
    <row r="2" spans="1:98" x14ac:dyDescent="0.15">
      <c r="A2" t="s">
        <v>861</v>
      </c>
      <c r="B2" t="s">
        <v>862</v>
      </c>
      <c r="C2" t="s">
        <v>274</v>
      </c>
      <c r="D2" t="s">
        <v>274</v>
      </c>
      <c r="E2" t="s">
        <v>274</v>
      </c>
      <c r="F2" t="s">
        <v>863</v>
      </c>
      <c r="G2" t="s">
        <v>864</v>
      </c>
      <c r="H2" t="s">
        <v>865</v>
      </c>
      <c r="I2" t="s">
        <v>273</v>
      </c>
      <c r="J2" t="s">
        <v>866</v>
      </c>
      <c r="K2" t="s">
        <v>867</v>
      </c>
      <c r="L2" t="s">
        <v>868</v>
      </c>
      <c r="N2" t="s">
        <v>861</v>
      </c>
      <c r="O2">
        <v>0</v>
      </c>
      <c r="P2" t="s">
        <v>869</v>
      </c>
      <c r="Q2" t="s">
        <v>11</v>
      </c>
      <c r="R2" t="s">
        <v>870</v>
      </c>
      <c r="S2" t="s">
        <v>871</v>
      </c>
      <c r="T2" t="s">
        <v>872</v>
      </c>
      <c r="U2" t="s">
        <v>872</v>
      </c>
      <c r="V2" t="s">
        <v>873</v>
      </c>
      <c r="Y2" t="s">
        <v>874</v>
      </c>
      <c r="Z2" t="s">
        <v>861</v>
      </c>
      <c r="AA2" t="s">
        <v>875</v>
      </c>
      <c r="AF2" t="s">
        <v>876</v>
      </c>
      <c r="AG2" t="s">
        <v>877</v>
      </c>
      <c r="AH2" t="s">
        <v>878</v>
      </c>
      <c r="AI2" t="s">
        <v>879</v>
      </c>
      <c r="AJ2" t="s">
        <v>861</v>
      </c>
      <c r="AK2" t="s">
        <v>880</v>
      </c>
      <c r="AL2" t="s">
        <v>881</v>
      </c>
      <c r="AM2" t="s">
        <v>882</v>
      </c>
      <c r="AP2" t="s">
        <v>883</v>
      </c>
      <c r="AQ2" t="s">
        <v>884</v>
      </c>
      <c r="AR2" t="s">
        <v>885</v>
      </c>
      <c r="AS2" t="s">
        <v>884</v>
      </c>
      <c r="AT2" t="s">
        <v>884</v>
      </c>
      <c r="AU2" t="s">
        <v>886</v>
      </c>
      <c r="AW2" t="s">
        <v>887</v>
      </c>
      <c r="AX2" t="s">
        <v>888</v>
      </c>
      <c r="AZ2" t="s">
        <v>889</v>
      </c>
      <c r="BA2" t="s">
        <v>890</v>
      </c>
      <c r="BK2" t="s">
        <v>891</v>
      </c>
      <c r="BL2">
        <v>368</v>
      </c>
      <c r="BM2">
        <v>63.93</v>
      </c>
      <c r="BN2">
        <v>21640</v>
      </c>
      <c r="BO2">
        <v>34997.82</v>
      </c>
      <c r="BP2">
        <v>34997.82</v>
      </c>
      <c r="BQ2">
        <v>34997.82</v>
      </c>
      <c r="BR2">
        <v>0</v>
      </c>
      <c r="BS2" t="s">
        <v>892</v>
      </c>
      <c r="BT2">
        <v>2639</v>
      </c>
      <c r="BV2" t="s">
        <v>893</v>
      </c>
      <c r="BW2" t="s">
        <v>894</v>
      </c>
      <c r="BX2" t="s">
        <v>895</v>
      </c>
      <c r="BY2" t="s">
        <v>896</v>
      </c>
      <c r="CD2" t="s">
        <v>897</v>
      </c>
      <c r="CG2" t="s">
        <v>866</v>
      </c>
      <c r="CH2" t="s">
        <v>898</v>
      </c>
      <c r="CI2" t="s">
        <v>899</v>
      </c>
      <c r="CJ2" t="s">
        <v>899</v>
      </c>
      <c r="CP2" t="s">
        <v>900</v>
      </c>
      <c r="CT2" t="s">
        <v>901</v>
      </c>
    </row>
    <row r="3" spans="1:98" x14ac:dyDescent="0.15">
      <c r="A3" t="s">
        <v>861</v>
      </c>
      <c r="B3" t="s">
        <v>862</v>
      </c>
      <c r="C3" t="s">
        <v>397</v>
      </c>
      <c r="D3" t="s">
        <v>397</v>
      </c>
      <c r="E3" t="s">
        <v>397</v>
      </c>
      <c r="F3" t="s">
        <v>863</v>
      </c>
      <c r="G3" t="s">
        <v>864</v>
      </c>
      <c r="H3" t="s">
        <v>865</v>
      </c>
      <c r="I3" t="s">
        <v>396</v>
      </c>
      <c r="J3" t="s">
        <v>902</v>
      </c>
      <c r="K3" t="s">
        <v>867</v>
      </c>
      <c r="L3" t="s">
        <v>868</v>
      </c>
      <c r="N3" t="s">
        <v>861</v>
      </c>
      <c r="O3">
        <v>0</v>
      </c>
      <c r="P3" t="s">
        <v>869</v>
      </c>
      <c r="Q3" t="s">
        <v>11</v>
      </c>
      <c r="R3" t="s">
        <v>870</v>
      </c>
      <c r="S3" t="s">
        <v>871</v>
      </c>
      <c r="T3" t="s">
        <v>872</v>
      </c>
      <c r="U3" t="s">
        <v>872</v>
      </c>
      <c r="V3" t="s">
        <v>873</v>
      </c>
      <c r="Y3" t="s">
        <v>874</v>
      </c>
      <c r="Z3" t="s">
        <v>861</v>
      </c>
      <c r="AA3" t="s">
        <v>875</v>
      </c>
      <c r="AF3" t="s">
        <v>876</v>
      </c>
      <c r="AG3" t="s">
        <v>903</v>
      </c>
      <c r="AH3" t="s">
        <v>878</v>
      </c>
      <c r="AI3" t="s">
        <v>904</v>
      </c>
      <c r="AJ3" t="s">
        <v>861</v>
      </c>
      <c r="AK3" t="s">
        <v>880</v>
      </c>
      <c r="AL3" t="s">
        <v>881</v>
      </c>
      <c r="AM3" t="s">
        <v>882</v>
      </c>
      <c r="AP3" t="s">
        <v>883</v>
      </c>
      <c r="AQ3" t="s">
        <v>884</v>
      </c>
      <c r="AR3" t="s">
        <v>905</v>
      </c>
      <c r="AS3" t="s">
        <v>884</v>
      </c>
      <c r="AT3" t="s">
        <v>884</v>
      </c>
      <c r="AU3" t="s">
        <v>886</v>
      </c>
      <c r="AW3" t="s">
        <v>887</v>
      </c>
      <c r="AX3" t="s">
        <v>888</v>
      </c>
      <c r="AZ3" t="s">
        <v>889</v>
      </c>
      <c r="BA3" t="s">
        <v>890</v>
      </c>
      <c r="BK3" t="s">
        <v>891</v>
      </c>
      <c r="BL3">
        <v>335</v>
      </c>
      <c r="BM3">
        <v>65.25</v>
      </c>
      <c r="BN3">
        <v>9001</v>
      </c>
      <c r="BO3">
        <v>17507.009999999998</v>
      </c>
      <c r="BP3">
        <v>17507.009999999998</v>
      </c>
      <c r="BQ3">
        <v>17507.009999999998</v>
      </c>
      <c r="BR3">
        <v>0</v>
      </c>
      <c r="BS3" t="s">
        <v>892</v>
      </c>
      <c r="BT3">
        <v>2639</v>
      </c>
      <c r="BV3" t="s">
        <v>893</v>
      </c>
      <c r="BW3" t="s">
        <v>894</v>
      </c>
      <c r="BX3" t="s">
        <v>895</v>
      </c>
      <c r="BY3" t="s">
        <v>906</v>
      </c>
      <c r="CD3" t="s">
        <v>907</v>
      </c>
      <c r="CG3" t="s">
        <v>902</v>
      </c>
      <c r="CH3" t="s">
        <v>898</v>
      </c>
      <c r="CI3" t="s">
        <v>908</v>
      </c>
      <c r="CJ3" t="s">
        <v>908</v>
      </c>
      <c r="CP3" t="s">
        <v>900</v>
      </c>
      <c r="CT3" t="s">
        <v>901</v>
      </c>
    </row>
    <row r="4" spans="1:98" x14ac:dyDescent="0.15">
      <c r="A4" t="s">
        <v>861</v>
      </c>
      <c r="B4" t="s">
        <v>862</v>
      </c>
      <c r="C4" t="s">
        <v>413</v>
      </c>
      <c r="D4" t="s">
        <v>413</v>
      </c>
      <c r="E4" t="s">
        <v>413</v>
      </c>
      <c r="F4" t="s">
        <v>863</v>
      </c>
      <c r="G4" t="s">
        <v>864</v>
      </c>
      <c r="H4" t="s">
        <v>865</v>
      </c>
      <c r="I4" t="s">
        <v>412</v>
      </c>
      <c r="J4" t="s">
        <v>909</v>
      </c>
      <c r="K4" t="s">
        <v>867</v>
      </c>
      <c r="L4" t="s">
        <v>868</v>
      </c>
      <c r="N4" t="s">
        <v>861</v>
      </c>
      <c r="O4">
        <v>0</v>
      </c>
      <c r="P4" t="s">
        <v>869</v>
      </c>
      <c r="Q4" t="s">
        <v>11</v>
      </c>
      <c r="R4" t="s">
        <v>870</v>
      </c>
      <c r="S4" t="s">
        <v>871</v>
      </c>
      <c r="T4" t="s">
        <v>872</v>
      </c>
      <c r="U4" t="s">
        <v>872</v>
      </c>
      <c r="V4" t="s">
        <v>873</v>
      </c>
      <c r="Y4" t="s">
        <v>910</v>
      </c>
      <c r="Z4" t="s">
        <v>861</v>
      </c>
      <c r="AA4" t="s">
        <v>875</v>
      </c>
      <c r="AF4" t="s">
        <v>876</v>
      </c>
      <c r="AG4" t="s">
        <v>911</v>
      </c>
      <c r="AH4" t="s">
        <v>878</v>
      </c>
      <c r="AI4" t="s">
        <v>912</v>
      </c>
      <c r="AJ4" t="s">
        <v>861</v>
      </c>
      <c r="AK4" t="s">
        <v>880</v>
      </c>
      <c r="AL4" t="s">
        <v>913</v>
      </c>
      <c r="AM4" t="s">
        <v>882</v>
      </c>
      <c r="AP4" t="s">
        <v>883</v>
      </c>
      <c r="AQ4" t="s">
        <v>884</v>
      </c>
      <c r="AR4" t="s">
        <v>914</v>
      </c>
      <c r="AS4" t="s">
        <v>884</v>
      </c>
      <c r="AT4" t="s">
        <v>884</v>
      </c>
      <c r="AU4" t="s">
        <v>886</v>
      </c>
      <c r="AW4" t="s">
        <v>887</v>
      </c>
      <c r="AX4" t="s">
        <v>888</v>
      </c>
      <c r="AZ4" t="s">
        <v>889</v>
      </c>
      <c r="BA4" t="s">
        <v>890</v>
      </c>
      <c r="BK4" t="s">
        <v>891</v>
      </c>
      <c r="BL4">
        <v>339</v>
      </c>
      <c r="BM4">
        <v>68.25</v>
      </c>
      <c r="BN4">
        <v>9555.6</v>
      </c>
      <c r="BO4">
        <v>20854.32</v>
      </c>
      <c r="BP4">
        <v>20854.32</v>
      </c>
      <c r="BQ4">
        <v>20854.32</v>
      </c>
      <c r="BR4">
        <v>0</v>
      </c>
      <c r="BS4" t="s">
        <v>892</v>
      </c>
      <c r="BT4">
        <v>2639</v>
      </c>
      <c r="BV4" t="s">
        <v>893</v>
      </c>
      <c r="BW4" t="s">
        <v>894</v>
      </c>
      <c r="BX4" t="s">
        <v>895</v>
      </c>
      <c r="BY4" t="s">
        <v>906</v>
      </c>
      <c r="CD4" t="s">
        <v>907</v>
      </c>
      <c r="CG4" t="s">
        <v>909</v>
      </c>
      <c r="CH4" t="s">
        <v>898</v>
      </c>
      <c r="CI4" t="s">
        <v>915</v>
      </c>
      <c r="CJ4" t="s">
        <v>915</v>
      </c>
      <c r="CP4" t="s">
        <v>900</v>
      </c>
      <c r="CT4" t="s">
        <v>901</v>
      </c>
    </row>
    <row r="5" spans="1:98" x14ac:dyDescent="0.15">
      <c r="A5" t="s">
        <v>861</v>
      </c>
      <c r="B5" t="s">
        <v>862</v>
      </c>
      <c r="C5" t="s">
        <v>487</v>
      </c>
      <c r="D5" t="s">
        <v>487</v>
      </c>
      <c r="E5" t="s">
        <v>487</v>
      </c>
      <c r="F5" t="s">
        <v>863</v>
      </c>
      <c r="G5" t="s">
        <v>864</v>
      </c>
      <c r="H5" t="s">
        <v>916</v>
      </c>
      <c r="I5" t="s">
        <v>485</v>
      </c>
      <c r="J5" t="s">
        <v>917</v>
      </c>
      <c r="K5" t="s">
        <v>867</v>
      </c>
      <c r="L5" t="s">
        <v>868</v>
      </c>
      <c r="N5" t="s">
        <v>861</v>
      </c>
      <c r="O5">
        <v>0</v>
      </c>
      <c r="P5" t="s">
        <v>918</v>
      </c>
      <c r="Q5" t="s">
        <v>11</v>
      </c>
      <c r="R5" t="s">
        <v>919</v>
      </c>
      <c r="S5" t="s">
        <v>871</v>
      </c>
      <c r="T5" t="s">
        <v>920</v>
      </c>
      <c r="U5" t="s">
        <v>920</v>
      </c>
      <c r="V5" t="s">
        <v>921</v>
      </c>
      <c r="Y5" t="s">
        <v>910</v>
      </c>
      <c r="Z5" t="s">
        <v>861</v>
      </c>
      <c r="AA5" t="s">
        <v>922</v>
      </c>
      <c r="AD5" t="s">
        <v>923</v>
      </c>
      <c r="AE5" t="s">
        <v>924</v>
      </c>
      <c r="AJ5" t="s">
        <v>861</v>
      </c>
      <c r="AK5" t="s">
        <v>880</v>
      </c>
      <c r="AL5" t="s">
        <v>881</v>
      </c>
      <c r="AM5" t="s">
        <v>882</v>
      </c>
      <c r="AP5" t="s">
        <v>925</v>
      </c>
      <c r="AQ5" t="s">
        <v>926</v>
      </c>
      <c r="AS5" t="s">
        <v>926</v>
      </c>
      <c r="AT5" t="s">
        <v>926</v>
      </c>
      <c r="AU5" t="s">
        <v>886</v>
      </c>
      <c r="AW5" t="s">
        <v>927</v>
      </c>
      <c r="AX5" t="s">
        <v>928</v>
      </c>
      <c r="AZ5" t="s">
        <v>929</v>
      </c>
      <c r="BA5" t="s">
        <v>930</v>
      </c>
      <c r="BK5" t="s">
        <v>891</v>
      </c>
      <c r="BL5">
        <v>438</v>
      </c>
      <c r="BM5">
        <v>66.069999999999993</v>
      </c>
      <c r="BN5">
        <v>12640.1</v>
      </c>
      <c r="BO5">
        <v>24527.62</v>
      </c>
      <c r="BP5">
        <v>24527.62</v>
      </c>
      <c r="BQ5">
        <v>24527.62</v>
      </c>
      <c r="BR5">
        <v>0</v>
      </c>
      <c r="BS5" t="s">
        <v>892</v>
      </c>
      <c r="BT5">
        <v>2639</v>
      </c>
      <c r="BV5" t="s">
        <v>931</v>
      </c>
      <c r="BW5" t="s">
        <v>932</v>
      </c>
      <c r="BX5" t="s">
        <v>895</v>
      </c>
      <c r="BY5" t="s">
        <v>933</v>
      </c>
      <c r="CD5" t="s">
        <v>934</v>
      </c>
      <c r="CG5" t="s">
        <v>917</v>
      </c>
      <c r="CH5" t="s">
        <v>898</v>
      </c>
      <c r="CI5" t="s">
        <v>935</v>
      </c>
      <c r="CJ5" t="s">
        <v>935</v>
      </c>
      <c r="CP5" t="s">
        <v>936</v>
      </c>
      <c r="CT5" t="s">
        <v>901</v>
      </c>
    </row>
    <row r="6" spans="1:98" x14ac:dyDescent="0.15">
      <c r="A6" t="s">
        <v>861</v>
      </c>
      <c r="B6" t="s">
        <v>862</v>
      </c>
      <c r="C6" t="s">
        <v>83</v>
      </c>
      <c r="D6" t="s">
        <v>83</v>
      </c>
      <c r="E6" t="s">
        <v>83</v>
      </c>
      <c r="F6" t="s">
        <v>863</v>
      </c>
      <c r="G6" t="s">
        <v>864</v>
      </c>
      <c r="H6" t="s">
        <v>937</v>
      </c>
      <c r="I6" t="s">
        <v>82</v>
      </c>
      <c r="J6" t="s">
        <v>938</v>
      </c>
      <c r="K6" t="s">
        <v>867</v>
      </c>
      <c r="L6" t="s">
        <v>868</v>
      </c>
      <c r="N6" t="s">
        <v>861</v>
      </c>
      <c r="O6">
        <v>0</v>
      </c>
      <c r="P6" t="s">
        <v>869</v>
      </c>
      <c r="Q6" t="s">
        <v>11</v>
      </c>
      <c r="R6" t="s">
        <v>870</v>
      </c>
      <c r="S6" t="s">
        <v>871</v>
      </c>
      <c r="T6" t="s">
        <v>872</v>
      </c>
      <c r="U6" t="s">
        <v>872</v>
      </c>
      <c r="V6" t="s">
        <v>873</v>
      </c>
      <c r="Y6" t="s">
        <v>874</v>
      </c>
      <c r="Z6" t="s">
        <v>861</v>
      </c>
      <c r="AA6" t="s">
        <v>939</v>
      </c>
      <c r="AF6" t="s">
        <v>876</v>
      </c>
      <c r="AG6" t="s">
        <v>940</v>
      </c>
      <c r="AH6" t="s">
        <v>878</v>
      </c>
      <c r="AI6" t="s">
        <v>941</v>
      </c>
      <c r="AJ6" t="s">
        <v>861</v>
      </c>
      <c r="AK6" t="s">
        <v>880</v>
      </c>
      <c r="AL6" t="s">
        <v>913</v>
      </c>
      <c r="AM6" t="s">
        <v>882</v>
      </c>
      <c r="AP6" t="s">
        <v>883</v>
      </c>
      <c r="AQ6" t="s">
        <v>884</v>
      </c>
      <c r="AS6" t="s">
        <v>884</v>
      </c>
      <c r="AT6" t="s">
        <v>884</v>
      </c>
      <c r="AU6" t="s">
        <v>886</v>
      </c>
      <c r="AW6" t="s">
        <v>887</v>
      </c>
      <c r="AX6" t="s">
        <v>888</v>
      </c>
      <c r="AZ6" t="s">
        <v>942</v>
      </c>
      <c r="BA6" t="s">
        <v>890</v>
      </c>
      <c r="BK6" t="s">
        <v>891</v>
      </c>
      <c r="BL6">
        <v>399</v>
      </c>
      <c r="BM6">
        <v>66.599999999999994</v>
      </c>
      <c r="BN6">
        <v>12897</v>
      </c>
      <c r="BO6">
        <v>23148.35</v>
      </c>
      <c r="BP6">
        <v>23148.35</v>
      </c>
      <c r="BQ6">
        <v>23148.35</v>
      </c>
      <c r="BR6">
        <v>0</v>
      </c>
      <c r="BS6" t="s">
        <v>892</v>
      </c>
      <c r="BT6">
        <v>2639</v>
      </c>
      <c r="BV6" t="s">
        <v>893</v>
      </c>
      <c r="BW6" t="s">
        <v>894</v>
      </c>
      <c r="BX6" t="s">
        <v>895</v>
      </c>
      <c r="BY6" t="s">
        <v>906</v>
      </c>
      <c r="CD6" t="s">
        <v>943</v>
      </c>
      <c r="CG6" t="s">
        <v>938</v>
      </c>
      <c r="CH6" t="s">
        <v>898</v>
      </c>
      <c r="CI6" t="s">
        <v>944</v>
      </c>
      <c r="CJ6" t="s">
        <v>944</v>
      </c>
      <c r="CP6" t="s">
        <v>900</v>
      </c>
      <c r="CT6" t="s">
        <v>901</v>
      </c>
    </row>
    <row r="7" spans="1:98" x14ac:dyDescent="0.15">
      <c r="A7" t="s">
        <v>861</v>
      </c>
      <c r="B7" t="s">
        <v>862</v>
      </c>
      <c r="C7" t="s">
        <v>76</v>
      </c>
      <c r="D7" t="s">
        <v>76</v>
      </c>
      <c r="E7" t="s">
        <v>76</v>
      </c>
      <c r="F7" t="s">
        <v>863</v>
      </c>
      <c r="G7" t="s">
        <v>864</v>
      </c>
      <c r="H7" t="s">
        <v>937</v>
      </c>
      <c r="I7" t="s">
        <v>75</v>
      </c>
      <c r="J7" t="s">
        <v>945</v>
      </c>
      <c r="K7" t="s">
        <v>867</v>
      </c>
      <c r="L7" t="s">
        <v>868</v>
      </c>
      <c r="N7" t="s">
        <v>861</v>
      </c>
      <c r="O7">
        <v>0</v>
      </c>
      <c r="P7" t="s">
        <v>869</v>
      </c>
      <c r="Q7" t="s">
        <v>11</v>
      </c>
      <c r="R7" t="s">
        <v>870</v>
      </c>
      <c r="S7" t="s">
        <v>871</v>
      </c>
      <c r="T7" t="s">
        <v>872</v>
      </c>
      <c r="U7" t="s">
        <v>872</v>
      </c>
      <c r="V7" t="s">
        <v>873</v>
      </c>
      <c r="Y7" t="s">
        <v>874</v>
      </c>
      <c r="Z7" t="s">
        <v>861</v>
      </c>
      <c r="AA7" t="s">
        <v>875</v>
      </c>
      <c r="AF7" t="s">
        <v>876</v>
      </c>
      <c r="AG7" t="s">
        <v>946</v>
      </c>
      <c r="AH7" t="s">
        <v>878</v>
      </c>
      <c r="AI7" t="s">
        <v>947</v>
      </c>
      <c r="AJ7" t="s">
        <v>861</v>
      </c>
      <c r="AK7" t="s">
        <v>880</v>
      </c>
      <c r="AL7" t="s">
        <v>881</v>
      </c>
      <c r="AM7" t="s">
        <v>882</v>
      </c>
      <c r="AP7" t="s">
        <v>883</v>
      </c>
      <c r="AQ7" t="s">
        <v>884</v>
      </c>
      <c r="AS7" t="s">
        <v>884</v>
      </c>
      <c r="AT7" t="s">
        <v>884</v>
      </c>
      <c r="AU7" t="s">
        <v>886</v>
      </c>
      <c r="AW7" t="s">
        <v>887</v>
      </c>
      <c r="AX7" t="s">
        <v>888</v>
      </c>
      <c r="AZ7" t="s">
        <v>942</v>
      </c>
      <c r="BA7" t="s">
        <v>890</v>
      </c>
      <c r="BK7" t="s">
        <v>891</v>
      </c>
      <c r="BL7">
        <v>1197</v>
      </c>
      <c r="BM7">
        <v>65.19</v>
      </c>
      <c r="BN7">
        <v>9998.7000000000007</v>
      </c>
      <c r="BO7">
        <v>23233.39</v>
      </c>
      <c r="BP7">
        <v>23233.39</v>
      </c>
      <c r="BQ7">
        <v>23233.39</v>
      </c>
      <c r="BR7">
        <v>0</v>
      </c>
      <c r="BS7" t="s">
        <v>892</v>
      </c>
      <c r="BT7">
        <v>2639</v>
      </c>
      <c r="BV7" t="s">
        <v>893</v>
      </c>
      <c r="BW7" t="s">
        <v>894</v>
      </c>
      <c r="BX7" t="s">
        <v>895</v>
      </c>
      <c r="BY7" t="s">
        <v>948</v>
      </c>
      <c r="CD7" t="s">
        <v>949</v>
      </c>
      <c r="CG7" t="s">
        <v>945</v>
      </c>
      <c r="CH7" t="s">
        <v>898</v>
      </c>
      <c r="CI7" t="s">
        <v>950</v>
      </c>
      <c r="CJ7" t="s">
        <v>950</v>
      </c>
      <c r="CP7" t="s">
        <v>900</v>
      </c>
      <c r="CT7" t="s">
        <v>901</v>
      </c>
    </row>
    <row r="8" spans="1:98" x14ac:dyDescent="0.15">
      <c r="A8" t="s">
        <v>861</v>
      </c>
      <c r="B8" t="s">
        <v>862</v>
      </c>
      <c r="C8" t="s">
        <v>74</v>
      </c>
      <c r="D8" t="s">
        <v>74</v>
      </c>
      <c r="E8" t="s">
        <v>74</v>
      </c>
      <c r="F8" t="s">
        <v>863</v>
      </c>
      <c r="G8" t="s">
        <v>864</v>
      </c>
      <c r="H8" t="s">
        <v>937</v>
      </c>
      <c r="I8" t="s">
        <v>73</v>
      </c>
      <c r="J8" t="s">
        <v>951</v>
      </c>
      <c r="K8" t="s">
        <v>867</v>
      </c>
      <c r="L8" t="s">
        <v>868</v>
      </c>
      <c r="N8" t="s">
        <v>861</v>
      </c>
      <c r="O8">
        <v>0</v>
      </c>
      <c r="P8" t="s">
        <v>952</v>
      </c>
      <c r="Q8" t="s">
        <v>15</v>
      </c>
      <c r="R8" t="s">
        <v>953</v>
      </c>
      <c r="S8" t="s">
        <v>954</v>
      </c>
      <c r="T8" t="s">
        <v>955</v>
      </c>
      <c r="U8" t="s">
        <v>955</v>
      </c>
      <c r="V8" t="s">
        <v>956</v>
      </c>
      <c r="W8" t="s">
        <v>957</v>
      </c>
      <c r="Y8" t="s">
        <v>874</v>
      </c>
      <c r="Z8" t="s">
        <v>861</v>
      </c>
      <c r="AA8" t="s">
        <v>958</v>
      </c>
      <c r="AB8" t="s">
        <v>959</v>
      </c>
      <c r="AD8" t="s">
        <v>960</v>
      </c>
      <c r="AE8" t="s">
        <v>961</v>
      </c>
      <c r="AF8" t="s">
        <v>962</v>
      </c>
      <c r="AG8" t="s">
        <v>963</v>
      </c>
      <c r="AH8" t="s">
        <v>964</v>
      </c>
      <c r="AI8" t="s">
        <v>965</v>
      </c>
      <c r="AJ8" t="s">
        <v>861</v>
      </c>
      <c r="AK8" t="s">
        <v>880</v>
      </c>
      <c r="AL8" t="s">
        <v>966</v>
      </c>
      <c r="AM8" t="s">
        <v>967</v>
      </c>
      <c r="AP8" t="s">
        <v>965</v>
      </c>
      <c r="AQ8" t="s">
        <v>968</v>
      </c>
      <c r="AS8" t="s">
        <v>968</v>
      </c>
      <c r="AT8" t="s">
        <v>968</v>
      </c>
      <c r="AU8" t="s">
        <v>886</v>
      </c>
      <c r="AW8" t="s">
        <v>942</v>
      </c>
      <c r="AX8" t="s">
        <v>965</v>
      </c>
      <c r="AZ8" t="s">
        <v>925</v>
      </c>
      <c r="BA8" t="s">
        <v>969</v>
      </c>
      <c r="BK8" t="s">
        <v>891</v>
      </c>
      <c r="BL8">
        <v>497</v>
      </c>
      <c r="BM8">
        <v>64.569999999999993</v>
      </c>
      <c r="BN8">
        <v>9159.4</v>
      </c>
      <c r="BO8">
        <v>23233.4</v>
      </c>
      <c r="BP8">
        <v>23233.4</v>
      </c>
      <c r="BQ8">
        <v>23233.4</v>
      </c>
      <c r="BR8">
        <v>0</v>
      </c>
      <c r="BS8" t="s">
        <v>892</v>
      </c>
      <c r="BT8">
        <v>2639</v>
      </c>
      <c r="BV8" t="s">
        <v>970</v>
      </c>
      <c r="BW8" t="s">
        <v>971</v>
      </c>
      <c r="BX8" t="s">
        <v>895</v>
      </c>
      <c r="BY8" t="s">
        <v>972</v>
      </c>
      <c r="CG8" t="s">
        <v>951</v>
      </c>
      <c r="CH8" t="s">
        <v>898</v>
      </c>
      <c r="CI8" t="s">
        <v>973</v>
      </c>
      <c r="CJ8" t="s">
        <v>973</v>
      </c>
      <c r="CP8" t="s">
        <v>974</v>
      </c>
      <c r="CT8" t="s">
        <v>975</v>
      </c>
    </row>
    <row r="9" spans="1:98" x14ac:dyDescent="0.15">
      <c r="A9" t="s">
        <v>861</v>
      </c>
      <c r="B9" t="s">
        <v>862</v>
      </c>
      <c r="C9" t="s">
        <v>100</v>
      </c>
      <c r="D9" t="s">
        <v>100</v>
      </c>
      <c r="E9" t="s">
        <v>100</v>
      </c>
      <c r="F9" t="s">
        <v>863</v>
      </c>
      <c r="G9" t="s">
        <v>864</v>
      </c>
      <c r="H9" t="s">
        <v>937</v>
      </c>
      <c r="I9" t="s">
        <v>99</v>
      </c>
      <c r="J9" t="s">
        <v>976</v>
      </c>
      <c r="K9" t="s">
        <v>977</v>
      </c>
      <c r="L9" t="s">
        <v>868</v>
      </c>
      <c r="N9" t="s">
        <v>861</v>
      </c>
      <c r="O9">
        <v>0</v>
      </c>
      <c r="P9" t="s">
        <v>978</v>
      </c>
      <c r="Q9" t="s">
        <v>36</v>
      </c>
      <c r="R9" t="s">
        <v>919</v>
      </c>
      <c r="S9" t="s">
        <v>979</v>
      </c>
      <c r="T9" t="s">
        <v>980</v>
      </c>
      <c r="U9" t="s">
        <v>980</v>
      </c>
      <c r="V9" t="s">
        <v>981</v>
      </c>
      <c r="Y9" t="s">
        <v>874</v>
      </c>
      <c r="Z9" t="s">
        <v>861</v>
      </c>
      <c r="AA9" t="s">
        <v>958</v>
      </c>
      <c r="AB9" t="s">
        <v>982</v>
      </c>
      <c r="AF9" t="s">
        <v>983</v>
      </c>
      <c r="AG9" t="s">
        <v>888</v>
      </c>
      <c r="AH9" t="s">
        <v>984</v>
      </c>
      <c r="AI9" t="s">
        <v>985</v>
      </c>
      <c r="AJ9" t="s">
        <v>861</v>
      </c>
      <c r="AK9" t="s">
        <v>880</v>
      </c>
      <c r="AL9" t="s">
        <v>913</v>
      </c>
      <c r="AM9" t="s">
        <v>986</v>
      </c>
      <c r="AP9" t="s">
        <v>883</v>
      </c>
      <c r="AQ9" t="s">
        <v>890</v>
      </c>
      <c r="AS9" t="s">
        <v>890</v>
      </c>
      <c r="AT9" t="s">
        <v>890</v>
      </c>
      <c r="AU9" t="s">
        <v>886</v>
      </c>
      <c r="AW9" t="s">
        <v>890</v>
      </c>
      <c r="AX9" t="s">
        <v>890</v>
      </c>
      <c r="AZ9" t="s">
        <v>987</v>
      </c>
      <c r="BA9" t="s">
        <v>988</v>
      </c>
      <c r="BK9" t="s">
        <v>891</v>
      </c>
      <c r="BL9">
        <v>1531</v>
      </c>
      <c r="BM9">
        <v>63.73</v>
      </c>
      <c r="BN9">
        <v>9906.5</v>
      </c>
      <c r="BO9">
        <v>63821.93</v>
      </c>
      <c r="BP9">
        <v>63821.93</v>
      </c>
      <c r="BQ9">
        <v>63821.93</v>
      </c>
      <c r="BR9">
        <v>0</v>
      </c>
      <c r="BS9" t="s">
        <v>892</v>
      </c>
      <c r="BT9">
        <v>1764</v>
      </c>
      <c r="BV9" t="s">
        <v>989</v>
      </c>
      <c r="BW9" t="s">
        <v>990</v>
      </c>
      <c r="BX9" t="s">
        <v>895</v>
      </c>
      <c r="BY9" t="s">
        <v>991</v>
      </c>
      <c r="CD9" t="s">
        <v>992</v>
      </c>
      <c r="CG9" t="s">
        <v>993</v>
      </c>
      <c r="CH9" t="s">
        <v>994</v>
      </c>
      <c r="CI9" t="s">
        <v>993</v>
      </c>
      <c r="CJ9" t="s">
        <v>993</v>
      </c>
      <c r="CP9" t="s">
        <v>995</v>
      </c>
      <c r="CT9" t="s">
        <v>901</v>
      </c>
    </row>
    <row r="10" spans="1:98" x14ac:dyDescent="0.15">
      <c r="A10" t="s">
        <v>861</v>
      </c>
      <c r="B10" t="s">
        <v>862</v>
      </c>
      <c r="C10" t="s">
        <v>106</v>
      </c>
      <c r="D10" t="s">
        <v>106</v>
      </c>
      <c r="E10" t="s">
        <v>106</v>
      </c>
      <c r="F10" t="s">
        <v>863</v>
      </c>
      <c r="G10" t="s">
        <v>864</v>
      </c>
      <c r="H10" t="s">
        <v>996</v>
      </c>
      <c r="I10" t="s">
        <v>105</v>
      </c>
      <c r="J10" t="s">
        <v>997</v>
      </c>
      <c r="K10" t="s">
        <v>977</v>
      </c>
      <c r="L10" t="s">
        <v>868</v>
      </c>
      <c r="N10" t="s">
        <v>861</v>
      </c>
      <c r="O10">
        <v>0</v>
      </c>
      <c r="P10" t="s">
        <v>978</v>
      </c>
      <c r="Q10" t="s">
        <v>15</v>
      </c>
      <c r="R10" t="s">
        <v>919</v>
      </c>
      <c r="S10" t="s">
        <v>954</v>
      </c>
      <c r="T10" t="s">
        <v>988</v>
      </c>
      <c r="U10" t="s">
        <v>988</v>
      </c>
      <c r="V10" t="s">
        <v>998</v>
      </c>
      <c r="W10" t="s">
        <v>999</v>
      </c>
      <c r="Y10" t="s">
        <v>874</v>
      </c>
      <c r="Z10" t="s">
        <v>861</v>
      </c>
      <c r="AA10" t="s">
        <v>922</v>
      </c>
      <c r="AF10" t="s">
        <v>1000</v>
      </c>
      <c r="AJ10" t="s">
        <v>861</v>
      </c>
      <c r="AK10" t="s">
        <v>880</v>
      </c>
      <c r="AL10" t="s">
        <v>1001</v>
      </c>
      <c r="AM10" t="s">
        <v>967</v>
      </c>
      <c r="AP10" t="s">
        <v>883</v>
      </c>
      <c r="AQ10" t="s">
        <v>1002</v>
      </c>
      <c r="AS10" t="s">
        <v>1002</v>
      </c>
      <c r="AT10" t="s">
        <v>1002</v>
      </c>
      <c r="AU10" t="s">
        <v>886</v>
      </c>
      <c r="AW10" t="s">
        <v>883</v>
      </c>
      <c r="AX10" t="s">
        <v>883</v>
      </c>
      <c r="AZ10" t="s">
        <v>1003</v>
      </c>
      <c r="BA10" t="s">
        <v>1004</v>
      </c>
      <c r="BK10" t="s">
        <v>891</v>
      </c>
      <c r="BL10">
        <v>840</v>
      </c>
      <c r="BM10">
        <v>70.010000000000005</v>
      </c>
      <c r="BN10">
        <v>14184.8</v>
      </c>
      <c r="BO10">
        <v>24042.36</v>
      </c>
      <c r="BP10">
        <v>24042.36</v>
      </c>
      <c r="BQ10">
        <v>24042.36</v>
      </c>
      <c r="BR10">
        <v>0</v>
      </c>
      <c r="BS10" t="s">
        <v>892</v>
      </c>
      <c r="BT10">
        <v>2906</v>
      </c>
      <c r="BV10" t="s">
        <v>1005</v>
      </c>
      <c r="BW10" t="s">
        <v>1006</v>
      </c>
      <c r="BX10" t="s">
        <v>1007</v>
      </c>
      <c r="BY10" t="s">
        <v>1008</v>
      </c>
      <c r="CD10" t="s">
        <v>1009</v>
      </c>
      <c r="CG10" t="s">
        <v>1010</v>
      </c>
      <c r="CH10" t="s">
        <v>994</v>
      </c>
      <c r="CI10" t="s">
        <v>1010</v>
      </c>
      <c r="CJ10" t="s">
        <v>1010</v>
      </c>
      <c r="CP10" t="s">
        <v>998</v>
      </c>
      <c r="CT10" t="s">
        <v>901</v>
      </c>
    </row>
    <row r="11" spans="1:98" x14ac:dyDescent="0.15">
      <c r="A11" t="s">
        <v>861</v>
      </c>
      <c r="B11" t="s">
        <v>862</v>
      </c>
      <c r="C11" t="s">
        <v>627</v>
      </c>
      <c r="D11" t="s">
        <v>627</v>
      </c>
      <c r="E11" t="s">
        <v>627</v>
      </c>
      <c r="F11" t="s">
        <v>863</v>
      </c>
      <c r="G11" t="s">
        <v>864</v>
      </c>
      <c r="H11" t="s">
        <v>863</v>
      </c>
      <c r="I11" t="s">
        <v>626</v>
      </c>
      <c r="J11" t="s">
        <v>1011</v>
      </c>
      <c r="K11" t="s">
        <v>867</v>
      </c>
      <c r="L11" t="s">
        <v>868</v>
      </c>
      <c r="N11" t="s">
        <v>861</v>
      </c>
      <c r="O11">
        <v>0</v>
      </c>
      <c r="P11" t="s">
        <v>978</v>
      </c>
      <c r="Q11" t="s">
        <v>11</v>
      </c>
      <c r="R11" t="s">
        <v>919</v>
      </c>
      <c r="S11" t="s">
        <v>871</v>
      </c>
      <c r="T11" t="s">
        <v>1012</v>
      </c>
      <c r="U11" t="s">
        <v>1012</v>
      </c>
      <c r="V11" t="s">
        <v>1013</v>
      </c>
      <c r="Y11" t="s">
        <v>910</v>
      </c>
      <c r="Z11" t="s">
        <v>861</v>
      </c>
      <c r="AA11" t="s">
        <v>922</v>
      </c>
      <c r="AJ11" t="s">
        <v>861</v>
      </c>
      <c r="AK11" t="s">
        <v>880</v>
      </c>
      <c r="AL11" t="s">
        <v>881</v>
      </c>
      <c r="AM11" t="s">
        <v>882</v>
      </c>
      <c r="AP11" t="s">
        <v>965</v>
      </c>
      <c r="AQ11" t="s">
        <v>1014</v>
      </c>
      <c r="AS11" t="s">
        <v>1014</v>
      </c>
      <c r="AT11" t="s">
        <v>1014</v>
      </c>
      <c r="AU11" t="s">
        <v>886</v>
      </c>
      <c r="AW11" t="s">
        <v>1015</v>
      </c>
      <c r="AX11" t="s">
        <v>1016</v>
      </c>
      <c r="AZ11" t="s">
        <v>1017</v>
      </c>
      <c r="BA11" t="s">
        <v>1018</v>
      </c>
      <c r="BK11" t="s">
        <v>891</v>
      </c>
      <c r="BL11">
        <v>908</v>
      </c>
      <c r="BM11">
        <v>65.12</v>
      </c>
      <c r="BN11">
        <v>6396.5</v>
      </c>
      <c r="BO11">
        <v>17373.37</v>
      </c>
      <c r="BP11">
        <v>17373.37</v>
      </c>
      <c r="BQ11">
        <v>17373.37</v>
      </c>
      <c r="BR11">
        <v>0</v>
      </c>
      <c r="BS11" t="s">
        <v>892</v>
      </c>
      <c r="BT11">
        <v>2639</v>
      </c>
      <c r="BV11" t="s">
        <v>1019</v>
      </c>
      <c r="BW11" t="s">
        <v>1020</v>
      </c>
      <c r="BX11" t="s">
        <v>895</v>
      </c>
      <c r="BY11" t="s">
        <v>1021</v>
      </c>
      <c r="CD11" t="s">
        <v>1022</v>
      </c>
      <c r="CG11" t="s">
        <v>1011</v>
      </c>
      <c r="CH11" t="s">
        <v>898</v>
      </c>
      <c r="CI11" t="s">
        <v>1023</v>
      </c>
      <c r="CJ11" t="s">
        <v>1023</v>
      </c>
      <c r="CP11" t="s">
        <v>1024</v>
      </c>
      <c r="CT11" t="s">
        <v>901</v>
      </c>
    </row>
    <row r="12" spans="1:98" x14ac:dyDescent="0.15">
      <c r="A12" t="s">
        <v>861</v>
      </c>
      <c r="B12" t="s">
        <v>862</v>
      </c>
      <c r="C12" t="s">
        <v>366</v>
      </c>
      <c r="D12" t="s">
        <v>366</v>
      </c>
      <c r="E12" t="s">
        <v>366</v>
      </c>
      <c r="F12" t="s">
        <v>863</v>
      </c>
      <c r="G12" t="s">
        <v>1025</v>
      </c>
      <c r="H12" t="s">
        <v>1026</v>
      </c>
      <c r="I12" t="s">
        <v>365</v>
      </c>
      <c r="J12" t="s">
        <v>1027</v>
      </c>
      <c r="K12" t="s">
        <v>977</v>
      </c>
      <c r="L12" t="s">
        <v>868</v>
      </c>
      <c r="N12" t="s">
        <v>861</v>
      </c>
      <c r="O12">
        <v>0</v>
      </c>
      <c r="P12" t="s">
        <v>978</v>
      </c>
      <c r="Q12" t="s">
        <v>125</v>
      </c>
      <c r="R12" t="s">
        <v>919</v>
      </c>
      <c r="S12" t="s">
        <v>871</v>
      </c>
      <c r="T12" t="s">
        <v>1028</v>
      </c>
      <c r="U12" t="s">
        <v>1028</v>
      </c>
      <c r="V12" t="s">
        <v>1029</v>
      </c>
      <c r="W12" t="s">
        <v>1030</v>
      </c>
      <c r="Y12" t="s">
        <v>874</v>
      </c>
      <c r="Z12" t="s">
        <v>861</v>
      </c>
      <c r="AA12" t="s">
        <v>875</v>
      </c>
      <c r="AF12" t="s">
        <v>1031</v>
      </c>
      <c r="AG12" t="s">
        <v>1028</v>
      </c>
      <c r="AH12" t="s">
        <v>1032</v>
      </c>
      <c r="AI12" t="s">
        <v>999</v>
      </c>
      <c r="AJ12" t="s">
        <v>861</v>
      </c>
      <c r="AK12" t="s">
        <v>880</v>
      </c>
      <c r="AL12" t="s">
        <v>913</v>
      </c>
      <c r="AM12" t="s">
        <v>882</v>
      </c>
      <c r="AN12" t="s">
        <v>882</v>
      </c>
      <c r="AO12" t="s">
        <v>1033</v>
      </c>
      <c r="AP12" t="s">
        <v>999</v>
      </c>
      <c r="AQ12" t="s">
        <v>1034</v>
      </c>
      <c r="AR12" t="s">
        <v>1035</v>
      </c>
      <c r="AS12" t="s">
        <v>1034</v>
      </c>
      <c r="AT12" t="s">
        <v>1034</v>
      </c>
      <c r="AU12" t="s">
        <v>886</v>
      </c>
      <c r="AW12" t="s">
        <v>1036</v>
      </c>
      <c r="AX12" t="s">
        <v>1035</v>
      </c>
      <c r="AZ12" t="s">
        <v>925</v>
      </c>
      <c r="BA12" t="s">
        <v>1037</v>
      </c>
      <c r="BB12" t="s">
        <v>1038</v>
      </c>
      <c r="BK12" t="s">
        <v>891</v>
      </c>
      <c r="BL12">
        <v>767</v>
      </c>
      <c r="BM12">
        <v>66.5</v>
      </c>
      <c r="BN12">
        <v>7274.2</v>
      </c>
      <c r="BO12">
        <v>16854.46</v>
      </c>
      <c r="BP12">
        <v>16854.46</v>
      </c>
      <c r="BQ12">
        <v>16854.46</v>
      </c>
      <c r="BR12">
        <v>0</v>
      </c>
      <c r="BS12" t="s">
        <v>892</v>
      </c>
      <c r="BT12">
        <v>3006.1</v>
      </c>
      <c r="BV12" t="s">
        <v>1039</v>
      </c>
      <c r="BW12" t="s">
        <v>1040</v>
      </c>
      <c r="BX12" t="s">
        <v>895</v>
      </c>
      <c r="BY12" t="s">
        <v>1041</v>
      </c>
      <c r="CD12" t="s">
        <v>1042</v>
      </c>
      <c r="CG12" t="s">
        <v>1043</v>
      </c>
      <c r="CH12" t="s">
        <v>994</v>
      </c>
      <c r="CI12" t="s">
        <v>1043</v>
      </c>
      <c r="CJ12" t="s">
        <v>1043</v>
      </c>
      <c r="CM12" t="s">
        <v>1044</v>
      </c>
      <c r="CN12" t="s">
        <v>1045</v>
      </c>
      <c r="CO12" t="s">
        <v>1046</v>
      </c>
      <c r="CP12" t="s">
        <v>1029</v>
      </c>
      <c r="CT12" t="s">
        <v>901</v>
      </c>
    </row>
    <row r="13" spans="1:98" x14ac:dyDescent="0.15">
      <c r="A13" t="s">
        <v>861</v>
      </c>
      <c r="B13" t="s">
        <v>862</v>
      </c>
      <c r="C13" t="s">
        <v>573</v>
      </c>
      <c r="D13" t="s">
        <v>573</v>
      </c>
      <c r="E13" t="s">
        <v>573</v>
      </c>
      <c r="F13" t="s">
        <v>863</v>
      </c>
      <c r="G13" t="s">
        <v>864</v>
      </c>
      <c r="H13" t="s">
        <v>916</v>
      </c>
      <c r="I13" t="s">
        <v>572</v>
      </c>
      <c r="J13" t="s">
        <v>1047</v>
      </c>
      <c r="K13" t="s">
        <v>977</v>
      </c>
      <c r="L13" t="s">
        <v>868</v>
      </c>
      <c r="N13" t="s">
        <v>861</v>
      </c>
      <c r="O13">
        <v>0</v>
      </c>
      <c r="P13" t="s">
        <v>978</v>
      </c>
      <c r="Q13" t="s">
        <v>125</v>
      </c>
      <c r="R13" t="s">
        <v>919</v>
      </c>
      <c r="S13" t="s">
        <v>871</v>
      </c>
      <c r="T13" t="s">
        <v>1016</v>
      </c>
      <c r="U13" t="s">
        <v>1016</v>
      </c>
      <c r="V13" t="s">
        <v>1048</v>
      </c>
      <c r="W13" t="s">
        <v>1030</v>
      </c>
      <c r="Y13" t="s">
        <v>874</v>
      </c>
      <c r="Z13" t="s">
        <v>861</v>
      </c>
      <c r="AA13" t="s">
        <v>875</v>
      </c>
      <c r="AD13" t="s">
        <v>923</v>
      </c>
      <c r="AE13" t="s">
        <v>1049</v>
      </c>
      <c r="AJ13" t="s">
        <v>861</v>
      </c>
      <c r="AK13" t="s">
        <v>880</v>
      </c>
      <c r="AL13" t="s">
        <v>881</v>
      </c>
      <c r="AM13" t="s">
        <v>882</v>
      </c>
      <c r="AP13" t="s">
        <v>1003</v>
      </c>
      <c r="AQ13" t="s">
        <v>1014</v>
      </c>
      <c r="AS13" t="s">
        <v>1014</v>
      </c>
      <c r="AT13" t="s">
        <v>1014</v>
      </c>
      <c r="AU13" t="s">
        <v>886</v>
      </c>
      <c r="AW13" t="s">
        <v>1015</v>
      </c>
      <c r="AX13" t="s">
        <v>1050</v>
      </c>
      <c r="AZ13" t="s">
        <v>1051</v>
      </c>
      <c r="BA13" t="s">
        <v>1018</v>
      </c>
      <c r="BK13" t="s">
        <v>891</v>
      </c>
      <c r="BL13">
        <v>697</v>
      </c>
      <c r="BM13">
        <v>66.8</v>
      </c>
      <c r="BN13">
        <v>7467.5</v>
      </c>
      <c r="BO13">
        <v>22115.34</v>
      </c>
      <c r="BP13">
        <v>22115.34</v>
      </c>
      <c r="BQ13">
        <v>22115.34</v>
      </c>
      <c r="BR13">
        <v>0</v>
      </c>
      <c r="BS13" t="s">
        <v>892</v>
      </c>
      <c r="BT13">
        <v>2934.1</v>
      </c>
      <c r="BV13" t="s">
        <v>1052</v>
      </c>
      <c r="BW13" t="s">
        <v>1053</v>
      </c>
      <c r="BX13" t="s">
        <v>895</v>
      </c>
      <c r="BY13" t="s">
        <v>1054</v>
      </c>
      <c r="CD13" t="s">
        <v>1055</v>
      </c>
      <c r="CG13" t="s">
        <v>1056</v>
      </c>
      <c r="CH13" t="s">
        <v>994</v>
      </c>
      <c r="CI13" t="s">
        <v>1056</v>
      </c>
      <c r="CJ13" t="s">
        <v>1056</v>
      </c>
      <c r="CP13" t="s">
        <v>873</v>
      </c>
      <c r="CT13" t="s">
        <v>901</v>
      </c>
    </row>
    <row r="14" spans="1:98" x14ac:dyDescent="0.15">
      <c r="A14" t="s">
        <v>861</v>
      </c>
      <c r="B14" t="s">
        <v>862</v>
      </c>
      <c r="C14" t="s">
        <v>13</v>
      </c>
      <c r="D14" t="s">
        <v>13</v>
      </c>
      <c r="E14" t="s">
        <v>13</v>
      </c>
      <c r="F14" t="s">
        <v>863</v>
      </c>
      <c r="G14" t="s">
        <v>864</v>
      </c>
      <c r="H14" t="s">
        <v>937</v>
      </c>
      <c r="I14" t="s">
        <v>9</v>
      </c>
      <c r="J14" t="s">
        <v>1057</v>
      </c>
      <c r="K14" t="s">
        <v>867</v>
      </c>
      <c r="L14" t="s">
        <v>868</v>
      </c>
      <c r="N14" t="s">
        <v>861</v>
      </c>
      <c r="O14">
        <v>0</v>
      </c>
      <c r="P14" t="s">
        <v>869</v>
      </c>
      <c r="Q14" t="s">
        <v>11</v>
      </c>
      <c r="R14" t="s">
        <v>870</v>
      </c>
      <c r="S14" t="s">
        <v>871</v>
      </c>
      <c r="T14" t="s">
        <v>872</v>
      </c>
      <c r="U14" t="s">
        <v>872</v>
      </c>
      <c r="V14" t="s">
        <v>873</v>
      </c>
      <c r="Y14" t="s">
        <v>874</v>
      </c>
      <c r="Z14" t="s">
        <v>861</v>
      </c>
      <c r="AA14" t="s">
        <v>958</v>
      </c>
      <c r="AB14" t="s">
        <v>1058</v>
      </c>
      <c r="AF14" t="s">
        <v>876</v>
      </c>
      <c r="AG14" t="s">
        <v>1059</v>
      </c>
      <c r="AH14" t="s">
        <v>878</v>
      </c>
      <c r="AI14" t="s">
        <v>1060</v>
      </c>
      <c r="AJ14" t="s">
        <v>861</v>
      </c>
      <c r="AK14" t="s">
        <v>880</v>
      </c>
      <c r="AL14" t="s">
        <v>881</v>
      </c>
      <c r="AM14" t="s">
        <v>882</v>
      </c>
      <c r="AP14" t="s">
        <v>883</v>
      </c>
      <c r="AQ14" t="s">
        <v>884</v>
      </c>
      <c r="AS14" t="s">
        <v>884</v>
      </c>
      <c r="AT14" t="s">
        <v>884</v>
      </c>
      <c r="AU14" t="s">
        <v>886</v>
      </c>
      <c r="AW14" t="s">
        <v>887</v>
      </c>
      <c r="AX14" t="s">
        <v>988</v>
      </c>
      <c r="AZ14" t="s">
        <v>942</v>
      </c>
      <c r="BA14" t="s">
        <v>1061</v>
      </c>
      <c r="BK14" t="s">
        <v>891</v>
      </c>
      <c r="BL14">
        <v>1475</v>
      </c>
      <c r="BM14">
        <v>67.430000000000007</v>
      </c>
      <c r="BN14">
        <v>14395</v>
      </c>
      <c r="BO14">
        <v>28360.3</v>
      </c>
      <c r="BP14">
        <v>28360.3</v>
      </c>
      <c r="BQ14">
        <v>28360.3</v>
      </c>
      <c r="BR14">
        <v>0</v>
      </c>
      <c r="BS14" t="s">
        <v>892</v>
      </c>
      <c r="BT14">
        <v>2639</v>
      </c>
      <c r="BV14" t="s">
        <v>893</v>
      </c>
      <c r="BW14" t="s">
        <v>894</v>
      </c>
      <c r="BX14" t="s">
        <v>895</v>
      </c>
      <c r="BY14" t="s">
        <v>896</v>
      </c>
      <c r="CD14" t="s">
        <v>1062</v>
      </c>
      <c r="CG14" t="s">
        <v>1057</v>
      </c>
      <c r="CH14" t="s">
        <v>898</v>
      </c>
      <c r="CI14" t="s">
        <v>1063</v>
      </c>
      <c r="CJ14" t="s">
        <v>1063</v>
      </c>
      <c r="CP14" t="s">
        <v>900</v>
      </c>
      <c r="CT14" t="s">
        <v>901</v>
      </c>
    </row>
    <row r="15" spans="1:98" x14ac:dyDescent="0.15">
      <c r="A15" t="s">
        <v>861</v>
      </c>
      <c r="B15" t="s">
        <v>862</v>
      </c>
      <c r="C15" t="s">
        <v>85</v>
      </c>
      <c r="D15" t="s">
        <v>85</v>
      </c>
      <c r="E15" t="s">
        <v>85</v>
      </c>
      <c r="F15" t="s">
        <v>863</v>
      </c>
      <c r="G15" t="s">
        <v>864</v>
      </c>
      <c r="H15" t="s">
        <v>937</v>
      </c>
      <c r="I15" t="s">
        <v>84</v>
      </c>
      <c r="J15" t="s">
        <v>1064</v>
      </c>
      <c r="K15" t="s">
        <v>867</v>
      </c>
      <c r="L15" t="s">
        <v>868</v>
      </c>
      <c r="N15" t="s">
        <v>861</v>
      </c>
      <c r="O15">
        <v>0</v>
      </c>
      <c r="P15" t="s">
        <v>869</v>
      </c>
      <c r="Q15" t="s">
        <v>11</v>
      </c>
      <c r="R15" t="s">
        <v>870</v>
      </c>
      <c r="S15" t="s">
        <v>871</v>
      </c>
      <c r="T15" t="s">
        <v>872</v>
      </c>
      <c r="U15" t="s">
        <v>872</v>
      </c>
      <c r="V15" t="s">
        <v>873</v>
      </c>
      <c r="Y15" t="s">
        <v>874</v>
      </c>
      <c r="Z15" t="s">
        <v>861</v>
      </c>
      <c r="AA15" t="s">
        <v>958</v>
      </c>
      <c r="AB15" t="s">
        <v>1065</v>
      </c>
      <c r="AF15" t="s">
        <v>876</v>
      </c>
      <c r="AG15" t="s">
        <v>1066</v>
      </c>
      <c r="AH15" t="s">
        <v>878</v>
      </c>
      <c r="AI15" t="s">
        <v>1067</v>
      </c>
      <c r="AJ15" t="s">
        <v>861</v>
      </c>
      <c r="AK15" t="s">
        <v>880</v>
      </c>
      <c r="AL15" t="s">
        <v>881</v>
      </c>
      <c r="AM15" t="s">
        <v>882</v>
      </c>
      <c r="AP15" t="s">
        <v>883</v>
      </c>
      <c r="AQ15" t="s">
        <v>884</v>
      </c>
      <c r="AS15" t="s">
        <v>884</v>
      </c>
      <c r="AT15" t="s">
        <v>884</v>
      </c>
      <c r="AU15" t="s">
        <v>886</v>
      </c>
      <c r="AW15" t="s">
        <v>887</v>
      </c>
      <c r="AX15" t="s">
        <v>988</v>
      </c>
      <c r="AZ15" t="s">
        <v>942</v>
      </c>
      <c r="BA15" t="s">
        <v>1061</v>
      </c>
      <c r="BK15" t="s">
        <v>891</v>
      </c>
      <c r="BL15">
        <v>1089</v>
      </c>
      <c r="BM15">
        <v>65.53</v>
      </c>
      <c r="BN15">
        <v>13299</v>
      </c>
      <c r="BO15">
        <v>28587.02</v>
      </c>
      <c r="BP15">
        <v>28587.02</v>
      </c>
      <c r="BQ15">
        <v>28587.02</v>
      </c>
      <c r="BR15">
        <v>0</v>
      </c>
      <c r="BS15" t="s">
        <v>892</v>
      </c>
      <c r="BT15">
        <v>2639</v>
      </c>
      <c r="BV15" t="s">
        <v>893</v>
      </c>
      <c r="BW15" t="s">
        <v>894</v>
      </c>
      <c r="BX15" t="s">
        <v>895</v>
      </c>
      <c r="BY15" t="s">
        <v>948</v>
      </c>
      <c r="CD15" t="s">
        <v>949</v>
      </c>
      <c r="CG15" t="s">
        <v>1064</v>
      </c>
      <c r="CH15" t="s">
        <v>898</v>
      </c>
      <c r="CI15" t="s">
        <v>1068</v>
      </c>
      <c r="CJ15" t="s">
        <v>1068</v>
      </c>
      <c r="CP15" t="s">
        <v>900</v>
      </c>
      <c r="CT15" t="s">
        <v>901</v>
      </c>
    </row>
    <row r="16" spans="1:98" x14ac:dyDescent="0.15">
      <c r="A16" t="s">
        <v>861</v>
      </c>
      <c r="B16" t="s">
        <v>862</v>
      </c>
      <c r="C16" t="s">
        <v>304</v>
      </c>
      <c r="D16" t="s">
        <v>304</v>
      </c>
      <c r="E16" t="s">
        <v>304</v>
      </c>
      <c r="F16" t="s">
        <v>863</v>
      </c>
      <c r="G16" t="s">
        <v>864</v>
      </c>
      <c r="H16" t="s">
        <v>865</v>
      </c>
      <c r="I16" t="s">
        <v>303</v>
      </c>
      <c r="J16" t="s">
        <v>1069</v>
      </c>
      <c r="K16" t="s">
        <v>867</v>
      </c>
      <c r="L16" t="s">
        <v>868</v>
      </c>
      <c r="N16" t="s">
        <v>861</v>
      </c>
      <c r="O16">
        <v>0</v>
      </c>
      <c r="P16" t="s">
        <v>869</v>
      </c>
      <c r="Q16" t="s">
        <v>11</v>
      </c>
      <c r="R16" t="s">
        <v>870</v>
      </c>
      <c r="S16" t="s">
        <v>871</v>
      </c>
      <c r="T16" t="s">
        <v>872</v>
      </c>
      <c r="U16" t="s">
        <v>872</v>
      </c>
      <c r="V16" t="s">
        <v>873</v>
      </c>
      <c r="Y16" t="s">
        <v>874</v>
      </c>
      <c r="Z16" t="s">
        <v>861</v>
      </c>
      <c r="AA16" t="s">
        <v>958</v>
      </c>
      <c r="AB16" t="s">
        <v>1070</v>
      </c>
      <c r="AF16" t="s">
        <v>876</v>
      </c>
      <c r="AG16" t="s">
        <v>1071</v>
      </c>
      <c r="AH16" t="s">
        <v>878</v>
      </c>
      <c r="AI16" t="s">
        <v>1072</v>
      </c>
      <c r="AJ16" t="s">
        <v>861</v>
      </c>
      <c r="AK16" t="s">
        <v>880</v>
      </c>
      <c r="AL16" t="s">
        <v>881</v>
      </c>
      <c r="AM16" t="s">
        <v>882</v>
      </c>
      <c r="AP16" t="s">
        <v>883</v>
      </c>
      <c r="AQ16" t="s">
        <v>884</v>
      </c>
      <c r="AR16" t="s">
        <v>1073</v>
      </c>
      <c r="AS16" t="s">
        <v>884</v>
      </c>
      <c r="AT16" t="s">
        <v>884</v>
      </c>
      <c r="AU16" t="s">
        <v>886</v>
      </c>
      <c r="AW16" t="s">
        <v>887</v>
      </c>
      <c r="AX16" t="s">
        <v>988</v>
      </c>
      <c r="AZ16" t="s">
        <v>889</v>
      </c>
      <c r="BA16" t="s">
        <v>1061</v>
      </c>
      <c r="BK16" t="s">
        <v>891</v>
      </c>
      <c r="BL16">
        <v>731</v>
      </c>
      <c r="BM16">
        <v>65.17</v>
      </c>
      <c r="BN16">
        <v>15909.5</v>
      </c>
      <c r="BO16">
        <v>23647.17</v>
      </c>
      <c r="BP16">
        <v>23647.17</v>
      </c>
      <c r="BQ16">
        <v>23647.17</v>
      </c>
      <c r="BR16">
        <v>0</v>
      </c>
      <c r="BS16" t="s">
        <v>892</v>
      </c>
      <c r="BT16">
        <v>2639</v>
      </c>
      <c r="BV16" t="s">
        <v>893</v>
      </c>
      <c r="BW16" t="s">
        <v>894</v>
      </c>
      <c r="BX16" t="s">
        <v>895</v>
      </c>
      <c r="BY16" t="s">
        <v>948</v>
      </c>
      <c r="CD16" t="s">
        <v>1074</v>
      </c>
      <c r="CG16" t="s">
        <v>1069</v>
      </c>
      <c r="CH16" t="s">
        <v>898</v>
      </c>
      <c r="CI16" t="s">
        <v>1075</v>
      </c>
      <c r="CJ16" t="s">
        <v>1075</v>
      </c>
      <c r="CP16" t="s">
        <v>900</v>
      </c>
      <c r="CT16" t="s">
        <v>901</v>
      </c>
    </row>
    <row r="17" spans="1:98" x14ac:dyDescent="0.15">
      <c r="A17" t="s">
        <v>861</v>
      </c>
      <c r="B17" t="s">
        <v>862</v>
      </c>
      <c r="C17" t="s">
        <v>358</v>
      </c>
      <c r="D17" t="s">
        <v>358</v>
      </c>
      <c r="E17" t="s">
        <v>358</v>
      </c>
      <c r="F17" t="s">
        <v>863</v>
      </c>
      <c r="G17" t="s">
        <v>1025</v>
      </c>
      <c r="H17" t="s">
        <v>1026</v>
      </c>
      <c r="I17" t="s">
        <v>357</v>
      </c>
      <c r="J17" t="s">
        <v>1076</v>
      </c>
      <c r="K17" t="s">
        <v>867</v>
      </c>
      <c r="L17" t="s">
        <v>868</v>
      </c>
      <c r="N17" t="s">
        <v>861</v>
      </c>
      <c r="O17">
        <v>0</v>
      </c>
      <c r="P17" t="s">
        <v>869</v>
      </c>
      <c r="Q17" t="s">
        <v>15</v>
      </c>
      <c r="R17" t="s">
        <v>870</v>
      </c>
      <c r="S17" t="s">
        <v>954</v>
      </c>
      <c r="T17" t="s">
        <v>1077</v>
      </c>
      <c r="U17" t="s">
        <v>1077</v>
      </c>
      <c r="V17" t="s">
        <v>1078</v>
      </c>
      <c r="W17" t="s">
        <v>1079</v>
      </c>
      <c r="Y17" t="s">
        <v>874</v>
      </c>
      <c r="Z17" t="s">
        <v>861</v>
      </c>
      <c r="AA17" t="s">
        <v>958</v>
      </c>
      <c r="AB17" t="s">
        <v>1080</v>
      </c>
      <c r="AF17" t="s">
        <v>1081</v>
      </c>
      <c r="AG17" t="s">
        <v>1082</v>
      </c>
      <c r="AH17" t="s">
        <v>964</v>
      </c>
      <c r="AI17" t="s">
        <v>1083</v>
      </c>
      <c r="AJ17" t="s">
        <v>861</v>
      </c>
      <c r="AK17" t="s">
        <v>880</v>
      </c>
      <c r="AL17" t="s">
        <v>1001</v>
      </c>
      <c r="AM17" t="s">
        <v>967</v>
      </c>
      <c r="AN17" t="s">
        <v>967</v>
      </c>
      <c r="AO17" t="s">
        <v>1084</v>
      </c>
      <c r="AP17" t="s">
        <v>1083</v>
      </c>
      <c r="AQ17" t="s">
        <v>1085</v>
      </c>
      <c r="AR17" t="s">
        <v>1085</v>
      </c>
      <c r="AS17" t="s">
        <v>1085</v>
      </c>
      <c r="AT17" t="s">
        <v>1085</v>
      </c>
      <c r="AU17" t="s">
        <v>886</v>
      </c>
      <c r="AW17" t="s">
        <v>1086</v>
      </c>
      <c r="AX17" t="s">
        <v>1087</v>
      </c>
      <c r="AZ17" t="s">
        <v>1088</v>
      </c>
      <c r="BA17" t="s">
        <v>1089</v>
      </c>
      <c r="BB17" t="s">
        <v>1090</v>
      </c>
      <c r="BH17" t="s">
        <v>1091</v>
      </c>
      <c r="BK17" t="s">
        <v>891</v>
      </c>
      <c r="BL17">
        <v>410</v>
      </c>
      <c r="BM17">
        <v>66.8</v>
      </c>
      <c r="BN17">
        <v>13721</v>
      </c>
      <c r="BO17">
        <v>25242.799999999999</v>
      </c>
      <c r="BP17">
        <v>25242.799999999999</v>
      </c>
      <c r="BQ17">
        <v>25242.799999999999</v>
      </c>
      <c r="BR17">
        <v>0</v>
      </c>
      <c r="BS17" t="s">
        <v>892</v>
      </c>
      <c r="BT17">
        <v>2529</v>
      </c>
      <c r="BV17" t="s">
        <v>1092</v>
      </c>
      <c r="BW17" t="s">
        <v>1093</v>
      </c>
      <c r="BX17" t="s">
        <v>895</v>
      </c>
      <c r="BY17" t="s">
        <v>1094</v>
      </c>
      <c r="CD17" t="s">
        <v>1095</v>
      </c>
      <c r="CG17" t="s">
        <v>1076</v>
      </c>
      <c r="CH17" t="s">
        <v>898</v>
      </c>
      <c r="CI17" t="s">
        <v>1096</v>
      </c>
      <c r="CJ17" t="s">
        <v>1096</v>
      </c>
      <c r="CM17" t="s">
        <v>1044</v>
      </c>
      <c r="CN17" t="s">
        <v>1045</v>
      </c>
      <c r="CO17" t="s">
        <v>1097</v>
      </c>
      <c r="CP17" t="s">
        <v>1029</v>
      </c>
      <c r="CT17" t="s">
        <v>901</v>
      </c>
    </row>
    <row r="18" spans="1:98" x14ac:dyDescent="0.15">
      <c r="A18" t="s">
        <v>861</v>
      </c>
      <c r="B18" t="s">
        <v>862</v>
      </c>
      <c r="C18" t="s">
        <v>272</v>
      </c>
      <c r="D18" t="s">
        <v>272</v>
      </c>
      <c r="E18" t="s">
        <v>272</v>
      </c>
      <c r="F18" t="s">
        <v>863</v>
      </c>
      <c r="G18" t="s">
        <v>1025</v>
      </c>
      <c r="H18" t="s">
        <v>1026</v>
      </c>
      <c r="I18" t="s">
        <v>271</v>
      </c>
      <c r="J18" t="s">
        <v>1098</v>
      </c>
      <c r="K18" t="s">
        <v>867</v>
      </c>
      <c r="L18" t="s">
        <v>868</v>
      </c>
      <c r="N18" t="s">
        <v>861</v>
      </c>
      <c r="O18">
        <v>0</v>
      </c>
      <c r="P18" t="s">
        <v>869</v>
      </c>
      <c r="Q18" t="s">
        <v>15</v>
      </c>
      <c r="R18" t="s">
        <v>870</v>
      </c>
      <c r="S18" t="s">
        <v>954</v>
      </c>
      <c r="T18" t="s">
        <v>1077</v>
      </c>
      <c r="U18" t="s">
        <v>1077</v>
      </c>
      <c r="V18" t="s">
        <v>1078</v>
      </c>
      <c r="W18" t="s">
        <v>1079</v>
      </c>
      <c r="Y18" t="s">
        <v>874</v>
      </c>
      <c r="Z18" t="s">
        <v>861</v>
      </c>
      <c r="AA18" t="s">
        <v>958</v>
      </c>
      <c r="AB18" t="s">
        <v>1099</v>
      </c>
      <c r="AF18" t="s">
        <v>1081</v>
      </c>
      <c r="AG18" t="s">
        <v>1100</v>
      </c>
      <c r="AH18" t="s">
        <v>964</v>
      </c>
      <c r="AI18" t="s">
        <v>1101</v>
      </c>
      <c r="AJ18" t="s">
        <v>861</v>
      </c>
      <c r="AK18" t="s">
        <v>880</v>
      </c>
      <c r="AL18" t="s">
        <v>1001</v>
      </c>
      <c r="AM18" t="s">
        <v>967</v>
      </c>
      <c r="AN18" t="s">
        <v>967</v>
      </c>
      <c r="AO18" t="s">
        <v>1102</v>
      </c>
      <c r="AP18" t="s">
        <v>1101</v>
      </c>
      <c r="AQ18" t="s">
        <v>1103</v>
      </c>
      <c r="AR18" t="s">
        <v>1103</v>
      </c>
      <c r="AS18" t="s">
        <v>1103</v>
      </c>
      <c r="AT18" t="s">
        <v>1103</v>
      </c>
      <c r="AU18" t="s">
        <v>886</v>
      </c>
      <c r="AW18" t="s">
        <v>1104</v>
      </c>
      <c r="AX18" t="s">
        <v>1105</v>
      </c>
      <c r="AZ18" t="s">
        <v>999</v>
      </c>
      <c r="BA18" t="s">
        <v>1087</v>
      </c>
      <c r="BB18" t="s">
        <v>1106</v>
      </c>
      <c r="BK18" t="s">
        <v>891</v>
      </c>
      <c r="BL18">
        <v>734</v>
      </c>
      <c r="BM18">
        <v>66.45</v>
      </c>
      <c r="BN18">
        <v>6710</v>
      </c>
      <c r="BO18">
        <v>16123.98</v>
      </c>
      <c r="BP18">
        <v>16123.98</v>
      </c>
      <c r="BQ18">
        <v>16123.98</v>
      </c>
      <c r="BR18">
        <v>0</v>
      </c>
      <c r="BS18" t="s">
        <v>892</v>
      </c>
      <c r="BT18">
        <v>2529</v>
      </c>
      <c r="BV18" t="s">
        <v>1092</v>
      </c>
      <c r="BW18" t="s">
        <v>1093</v>
      </c>
      <c r="BX18" t="s">
        <v>895</v>
      </c>
      <c r="BY18" t="s">
        <v>1094</v>
      </c>
      <c r="CD18" t="s">
        <v>1107</v>
      </c>
      <c r="CG18" t="s">
        <v>1098</v>
      </c>
      <c r="CH18" t="s">
        <v>898</v>
      </c>
      <c r="CI18" t="s">
        <v>1108</v>
      </c>
      <c r="CJ18" t="s">
        <v>1108</v>
      </c>
      <c r="CM18" t="s">
        <v>1044</v>
      </c>
      <c r="CN18" t="s">
        <v>1045</v>
      </c>
      <c r="CO18" t="s">
        <v>1109</v>
      </c>
      <c r="CP18" t="s">
        <v>1029</v>
      </c>
      <c r="CT18" t="s">
        <v>901</v>
      </c>
    </row>
    <row r="19" spans="1:98" x14ac:dyDescent="0.15">
      <c r="A19" t="s">
        <v>861</v>
      </c>
      <c r="B19" t="s">
        <v>862</v>
      </c>
      <c r="C19" t="s">
        <v>360</v>
      </c>
      <c r="D19" t="s">
        <v>360</v>
      </c>
      <c r="E19" t="s">
        <v>360</v>
      </c>
      <c r="F19" t="s">
        <v>863</v>
      </c>
      <c r="G19" t="s">
        <v>1025</v>
      </c>
      <c r="H19" t="s">
        <v>1026</v>
      </c>
      <c r="I19" t="s">
        <v>359</v>
      </c>
      <c r="J19" t="s">
        <v>1110</v>
      </c>
      <c r="K19" t="s">
        <v>867</v>
      </c>
      <c r="L19" t="s">
        <v>868</v>
      </c>
      <c r="N19" t="s">
        <v>861</v>
      </c>
      <c r="O19">
        <v>0</v>
      </c>
      <c r="P19" t="s">
        <v>869</v>
      </c>
      <c r="Q19" t="s">
        <v>15</v>
      </c>
      <c r="R19" t="s">
        <v>870</v>
      </c>
      <c r="S19" t="s">
        <v>954</v>
      </c>
      <c r="T19" t="s">
        <v>1077</v>
      </c>
      <c r="U19" t="s">
        <v>1077</v>
      </c>
      <c r="V19" t="s">
        <v>1078</v>
      </c>
      <c r="W19" t="s">
        <v>1079</v>
      </c>
      <c r="Y19" t="s">
        <v>874</v>
      </c>
      <c r="Z19" t="s">
        <v>861</v>
      </c>
      <c r="AA19" t="s">
        <v>958</v>
      </c>
      <c r="AB19" t="s">
        <v>1111</v>
      </c>
      <c r="AF19" t="s">
        <v>1081</v>
      </c>
      <c r="AG19" t="s">
        <v>1112</v>
      </c>
      <c r="AH19" t="s">
        <v>964</v>
      </c>
      <c r="AI19" t="s">
        <v>1083</v>
      </c>
      <c r="AJ19" t="s">
        <v>861</v>
      </c>
      <c r="AK19" t="s">
        <v>880</v>
      </c>
      <c r="AL19" t="s">
        <v>1001</v>
      </c>
      <c r="AM19" t="s">
        <v>967</v>
      </c>
      <c r="AN19" t="s">
        <v>967</v>
      </c>
      <c r="AO19" t="s">
        <v>1113</v>
      </c>
      <c r="AP19" t="s">
        <v>1083</v>
      </c>
      <c r="AQ19" t="s">
        <v>1114</v>
      </c>
      <c r="AR19" t="s">
        <v>1114</v>
      </c>
      <c r="AS19" t="s">
        <v>1114</v>
      </c>
      <c r="AT19" t="s">
        <v>1114</v>
      </c>
      <c r="AU19" t="s">
        <v>886</v>
      </c>
      <c r="AW19" t="s">
        <v>1115</v>
      </c>
      <c r="AX19" t="s">
        <v>1105</v>
      </c>
      <c r="AZ19" t="s">
        <v>999</v>
      </c>
      <c r="BA19" t="s">
        <v>1087</v>
      </c>
      <c r="BB19" t="s">
        <v>1116</v>
      </c>
      <c r="BH19" t="s">
        <v>1117</v>
      </c>
      <c r="BK19" t="s">
        <v>891</v>
      </c>
      <c r="BL19">
        <v>314</v>
      </c>
      <c r="BM19">
        <v>69.86</v>
      </c>
      <c r="BN19">
        <v>14341.5</v>
      </c>
      <c r="BO19">
        <v>28140.12</v>
      </c>
      <c r="BP19">
        <v>28140.12</v>
      </c>
      <c r="BQ19">
        <v>28140.12</v>
      </c>
      <c r="BR19">
        <v>0</v>
      </c>
      <c r="BS19" t="s">
        <v>892</v>
      </c>
      <c r="BT19">
        <v>2529</v>
      </c>
      <c r="BV19" t="s">
        <v>1092</v>
      </c>
      <c r="BW19" t="s">
        <v>1093</v>
      </c>
      <c r="BX19" t="s">
        <v>895</v>
      </c>
      <c r="BY19" t="s">
        <v>1118</v>
      </c>
      <c r="CD19" t="s">
        <v>1119</v>
      </c>
      <c r="CG19" t="s">
        <v>1110</v>
      </c>
      <c r="CH19" t="s">
        <v>898</v>
      </c>
      <c r="CI19" t="s">
        <v>1120</v>
      </c>
      <c r="CJ19" t="s">
        <v>1120</v>
      </c>
      <c r="CM19" t="s">
        <v>1044</v>
      </c>
      <c r="CN19" t="s">
        <v>1045</v>
      </c>
      <c r="CO19" t="s">
        <v>1121</v>
      </c>
      <c r="CP19" t="s">
        <v>1029</v>
      </c>
      <c r="CT19" t="s">
        <v>901</v>
      </c>
    </row>
    <row r="20" spans="1:98" x14ac:dyDescent="0.15">
      <c r="A20" t="s">
        <v>861</v>
      </c>
      <c r="B20" t="s">
        <v>862</v>
      </c>
      <c r="C20" t="s">
        <v>155</v>
      </c>
      <c r="D20" t="s">
        <v>155</v>
      </c>
      <c r="E20" t="s">
        <v>155</v>
      </c>
      <c r="F20" t="s">
        <v>863</v>
      </c>
      <c r="G20" t="s">
        <v>1025</v>
      </c>
      <c r="H20" t="s">
        <v>1026</v>
      </c>
      <c r="I20" t="s">
        <v>154</v>
      </c>
      <c r="J20" t="s">
        <v>1122</v>
      </c>
      <c r="K20" t="s">
        <v>977</v>
      </c>
      <c r="L20" t="s">
        <v>868</v>
      </c>
      <c r="N20" t="s">
        <v>861</v>
      </c>
      <c r="O20">
        <v>0</v>
      </c>
      <c r="P20" t="s">
        <v>960</v>
      </c>
      <c r="Q20" t="s">
        <v>36</v>
      </c>
      <c r="R20" t="s">
        <v>1123</v>
      </c>
      <c r="S20" t="s">
        <v>979</v>
      </c>
      <c r="T20" t="s">
        <v>1124</v>
      </c>
      <c r="U20" t="s">
        <v>1124</v>
      </c>
      <c r="V20" t="s">
        <v>1048</v>
      </c>
      <c r="W20" t="s">
        <v>1125</v>
      </c>
      <c r="Y20" t="s">
        <v>874</v>
      </c>
      <c r="Z20" t="s">
        <v>861</v>
      </c>
      <c r="AA20" t="s">
        <v>958</v>
      </c>
      <c r="AB20" t="s">
        <v>1126</v>
      </c>
      <c r="AF20" t="s">
        <v>1127</v>
      </c>
      <c r="AG20" t="s">
        <v>1128</v>
      </c>
      <c r="AH20" t="s">
        <v>1129</v>
      </c>
      <c r="AI20" t="s">
        <v>1083</v>
      </c>
      <c r="AJ20" t="s">
        <v>861</v>
      </c>
      <c r="AK20" t="s">
        <v>880</v>
      </c>
      <c r="AL20" t="s">
        <v>913</v>
      </c>
      <c r="AM20" t="s">
        <v>986</v>
      </c>
      <c r="AN20" t="s">
        <v>986</v>
      </c>
      <c r="AO20" t="s">
        <v>1130</v>
      </c>
      <c r="AP20" t="s">
        <v>1083</v>
      </c>
      <c r="AQ20" t="s">
        <v>1131</v>
      </c>
      <c r="AR20" t="s">
        <v>1132</v>
      </c>
      <c r="AS20" t="s">
        <v>1131</v>
      </c>
      <c r="AT20" t="s">
        <v>1131</v>
      </c>
      <c r="AU20" t="s">
        <v>886</v>
      </c>
      <c r="AW20" t="s">
        <v>1131</v>
      </c>
      <c r="AX20" t="s">
        <v>1131</v>
      </c>
      <c r="AZ20" t="s">
        <v>969</v>
      </c>
      <c r="BA20" t="s">
        <v>1133</v>
      </c>
      <c r="BB20" t="s">
        <v>1028</v>
      </c>
      <c r="BK20" t="s">
        <v>1134</v>
      </c>
      <c r="BL20">
        <v>710</v>
      </c>
      <c r="BM20">
        <v>66.44</v>
      </c>
      <c r="BN20">
        <v>11951</v>
      </c>
      <c r="BO20">
        <v>19976.7</v>
      </c>
      <c r="BP20">
        <v>19976.7</v>
      </c>
      <c r="BQ20">
        <v>21723.31</v>
      </c>
      <c r="BR20">
        <v>1746.63</v>
      </c>
      <c r="BS20" t="s">
        <v>892</v>
      </c>
      <c r="BT20">
        <v>1744</v>
      </c>
      <c r="BV20" t="s">
        <v>1135</v>
      </c>
      <c r="BW20" t="s">
        <v>1136</v>
      </c>
      <c r="BX20" t="s">
        <v>895</v>
      </c>
      <c r="BY20" t="s">
        <v>1137</v>
      </c>
      <c r="CD20" t="s">
        <v>1138</v>
      </c>
      <c r="CG20" t="s">
        <v>1139</v>
      </c>
      <c r="CH20" t="s">
        <v>994</v>
      </c>
      <c r="CI20" t="s">
        <v>1139</v>
      </c>
      <c r="CJ20" t="s">
        <v>1139</v>
      </c>
      <c r="CM20" t="s">
        <v>1044</v>
      </c>
      <c r="CN20" t="s">
        <v>1045</v>
      </c>
      <c r="CO20" t="s">
        <v>1140</v>
      </c>
      <c r="CP20" t="s">
        <v>974</v>
      </c>
      <c r="CT20" t="s">
        <v>901</v>
      </c>
    </row>
    <row r="21" spans="1:98" x14ac:dyDescent="0.15">
      <c r="A21" t="s">
        <v>861</v>
      </c>
      <c r="B21" t="s">
        <v>862</v>
      </c>
      <c r="C21" t="s">
        <v>78</v>
      </c>
      <c r="D21" t="s">
        <v>78</v>
      </c>
      <c r="E21" t="s">
        <v>78</v>
      </c>
      <c r="F21" t="s">
        <v>863</v>
      </c>
      <c r="G21" t="s">
        <v>864</v>
      </c>
      <c r="H21" t="s">
        <v>937</v>
      </c>
      <c r="I21" t="s">
        <v>77</v>
      </c>
      <c r="J21" t="s">
        <v>1141</v>
      </c>
      <c r="K21" t="s">
        <v>867</v>
      </c>
      <c r="L21" t="s">
        <v>868</v>
      </c>
      <c r="N21" t="s">
        <v>861</v>
      </c>
      <c r="O21">
        <v>0</v>
      </c>
      <c r="P21" t="s">
        <v>1142</v>
      </c>
      <c r="Q21" t="s">
        <v>11</v>
      </c>
      <c r="R21" t="s">
        <v>919</v>
      </c>
      <c r="S21" t="s">
        <v>871</v>
      </c>
      <c r="T21" t="s">
        <v>1143</v>
      </c>
      <c r="U21" t="s">
        <v>1143</v>
      </c>
      <c r="V21" t="s">
        <v>956</v>
      </c>
      <c r="W21" t="s">
        <v>1144</v>
      </c>
      <c r="Y21" t="s">
        <v>874</v>
      </c>
      <c r="Z21" t="s">
        <v>861</v>
      </c>
      <c r="AA21" t="s">
        <v>875</v>
      </c>
      <c r="AD21" t="s">
        <v>923</v>
      </c>
      <c r="AE21" t="s">
        <v>1145</v>
      </c>
      <c r="AF21" t="s">
        <v>1146</v>
      </c>
      <c r="AG21" t="s">
        <v>1147</v>
      </c>
      <c r="AH21" t="s">
        <v>878</v>
      </c>
      <c r="AI21" t="s">
        <v>1148</v>
      </c>
      <c r="AJ21" t="s">
        <v>861</v>
      </c>
      <c r="AK21" t="s">
        <v>880</v>
      </c>
      <c r="AL21" t="s">
        <v>913</v>
      </c>
      <c r="AM21" t="s">
        <v>882</v>
      </c>
      <c r="AP21" t="s">
        <v>883</v>
      </c>
      <c r="AQ21" t="s">
        <v>1149</v>
      </c>
      <c r="AS21" t="s">
        <v>1149</v>
      </c>
      <c r="AT21" t="s">
        <v>1149</v>
      </c>
      <c r="AU21" t="s">
        <v>886</v>
      </c>
      <c r="AW21" t="s">
        <v>1150</v>
      </c>
      <c r="AX21" t="s">
        <v>1151</v>
      </c>
      <c r="AZ21" t="s">
        <v>969</v>
      </c>
      <c r="BA21" t="s">
        <v>1152</v>
      </c>
      <c r="BK21" t="s">
        <v>891</v>
      </c>
      <c r="BL21">
        <v>938</v>
      </c>
      <c r="BM21">
        <v>63.96</v>
      </c>
      <c r="BN21">
        <v>9037</v>
      </c>
      <c r="BO21">
        <v>19329.54</v>
      </c>
      <c r="BP21">
        <v>19329.54</v>
      </c>
      <c r="BQ21">
        <v>19329.54</v>
      </c>
      <c r="BR21">
        <v>0</v>
      </c>
      <c r="BS21" t="s">
        <v>892</v>
      </c>
      <c r="BT21">
        <v>2639</v>
      </c>
      <c r="BV21" t="s">
        <v>1153</v>
      </c>
      <c r="BW21" t="s">
        <v>1154</v>
      </c>
      <c r="BX21" t="s">
        <v>895</v>
      </c>
      <c r="BY21" t="s">
        <v>948</v>
      </c>
      <c r="CD21" t="s">
        <v>1155</v>
      </c>
      <c r="CG21" t="s">
        <v>1141</v>
      </c>
      <c r="CH21" t="s">
        <v>898</v>
      </c>
      <c r="CI21" t="s">
        <v>1156</v>
      </c>
      <c r="CJ21" t="s">
        <v>1156</v>
      </c>
      <c r="CP21" t="s">
        <v>1157</v>
      </c>
      <c r="CT21" t="s">
        <v>901</v>
      </c>
    </row>
    <row r="22" spans="1:98" x14ac:dyDescent="0.15">
      <c r="A22" t="s">
        <v>861</v>
      </c>
      <c r="B22" t="s">
        <v>862</v>
      </c>
      <c r="C22" t="s">
        <v>536</v>
      </c>
      <c r="D22" t="s">
        <v>536</v>
      </c>
      <c r="E22" t="s">
        <v>536</v>
      </c>
      <c r="F22" t="s">
        <v>863</v>
      </c>
      <c r="G22" t="s">
        <v>864</v>
      </c>
      <c r="H22" t="s">
        <v>916</v>
      </c>
      <c r="I22" t="s">
        <v>534</v>
      </c>
      <c r="J22" t="s">
        <v>1158</v>
      </c>
      <c r="K22" t="s">
        <v>867</v>
      </c>
      <c r="L22" t="s">
        <v>868</v>
      </c>
      <c r="N22" t="s">
        <v>861</v>
      </c>
      <c r="O22">
        <v>0</v>
      </c>
      <c r="P22" t="s">
        <v>1159</v>
      </c>
      <c r="Q22" t="s">
        <v>11</v>
      </c>
      <c r="R22" t="s">
        <v>919</v>
      </c>
      <c r="S22" t="s">
        <v>871</v>
      </c>
      <c r="T22" t="s">
        <v>1160</v>
      </c>
      <c r="U22" t="s">
        <v>1160</v>
      </c>
      <c r="V22" t="s">
        <v>981</v>
      </c>
      <c r="Y22" t="s">
        <v>874</v>
      </c>
      <c r="Z22" t="s">
        <v>861</v>
      </c>
      <c r="AA22" t="s">
        <v>922</v>
      </c>
      <c r="AD22" t="s">
        <v>923</v>
      </c>
      <c r="AE22" t="s">
        <v>1161</v>
      </c>
      <c r="AJ22" t="s">
        <v>861</v>
      </c>
      <c r="AK22" t="s">
        <v>880</v>
      </c>
      <c r="AP22" t="s">
        <v>1162</v>
      </c>
      <c r="AZ22" t="s">
        <v>1163</v>
      </c>
      <c r="BK22" t="s">
        <v>891</v>
      </c>
      <c r="BL22">
        <v>464</v>
      </c>
      <c r="BM22">
        <v>69.28</v>
      </c>
      <c r="BN22">
        <v>10888</v>
      </c>
      <c r="BO22">
        <v>26238.9</v>
      </c>
      <c r="BP22">
        <v>26238.9</v>
      </c>
      <c r="BQ22">
        <v>26238.9</v>
      </c>
      <c r="BR22">
        <v>0</v>
      </c>
      <c r="BS22" t="s">
        <v>892</v>
      </c>
      <c r="BT22">
        <v>2639</v>
      </c>
      <c r="BV22" t="s">
        <v>1164</v>
      </c>
      <c r="BW22" t="s">
        <v>1165</v>
      </c>
      <c r="BX22" t="s">
        <v>895</v>
      </c>
      <c r="BY22" t="s">
        <v>991</v>
      </c>
      <c r="CD22" t="s">
        <v>1166</v>
      </c>
      <c r="CG22" t="s">
        <v>1158</v>
      </c>
      <c r="CH22" t="s">
        <v>898</v>
      </c>
      <c r="CI22" t="s">
        <v>1167</v>
      </c>
      <c r="CJ22" t="s">
        <v>1167</v>
      </c>
      <c r="CP22" t="s">
        <v>1168</v>
      </c>
      <c r="CT22" t="s">
        <v>901</v>
      </c>
    </row>
    <row r="23" spans="1:98" x14ac:dyDescent="0.15">
      <c r="A23" t="s">
        <v>861</v>
      </c>
      <c r="B23" t="s">
        <v>862</v>
      </c>
      <c r="C23" t="s">
        <v>72</v>
      </c>
      <c r="D23" t="s">
        <v>72</v>
      </c>
      <c r="E23" t="s">
        <v>72</v>
      </c>
      <c r="F23" t="s">
        <v>863</v>
      </c>
      <c r="G23" t="s">
        <v>864</v>
      </c>
      <c r="H23" t="s">
        <v>937</v>
      </c>
      <c r="I23" t="s">
        <v>70</v>
      </c>
      <c r="J23" t="s">
        <v>1169</v>
      </c>
      <c r="K23" t="s">
        <v>867</v>
      </c>
      <c r="L23" t="s">
        <v>868</v>
      </c>
      <c r="N23" t="s">
        <v>861</v>
      </c>
      <c r="O23">
        <v>0</v>
      </c>
      <c r="P23" t="s">
        <v>1159</v>
      </c>
      <c r="Q23" t="s">
        <v>11</v>
      </c>
      <c r="R23" t="s">
        <v>919</v>
      </c>
      <c r="S23" t="s">
        <v>871</v>
      </c>
      <c r="T23" t="s">
        <v>1143</v>
      </c>
      <c r="U23" t="s">
        <v>1143</v>
      </c>
      <c r="V23" t="s">
        <v>1029</v>
      </c>
      <c r="W23" t="s">
        <v>1144</v>
      </c>
      <c r="Y23" t="s">
        <v>874</v>
      </c>
      <c r="Z23" t="s">
        <v>861</v>
      </c>
      <c r="AA23" t="s">
        <v>958</v>
      </c>
      <c r="AB23" t="s">
        <v>1170</v>
      </c>
      <c r="AD23" t="s">
        <v>923</v>
      </c>
      <c r="AE23" t="s">
        <v>1171</v>
      </c>
      <c r="AF23" t="s">
        <v>1146</v>
      </c>
      <c r="AG23" t="s">
        <v>1172</v>
      </c>
      <c r="AH23" t="s">
        <v>878</v>
      </c>
      <c r="AI23" t="s">
        <v>1173</v>
      </c>
      <c r="AJ23" t="s">
        <v>861</v>
      </c>
      <c r="AK23" t="s">
        <v>880</v>
      </c>
      <c r="AL23" t="s">
        <v>913</v>
      </c>
      <c r="AM23" t="s">
        <v>882</v>
      </c>
      <c r="AP23" t="s">
        <v>883</v>
      </c>
      <c r="AQ23" t="s">
        <v>1149</v>
      </c>
      <c r="AS23" t="s">
        <v>1149</v>
      </c>
      <c r="AT23" t="s">
        <v>1149</v>
      </c>
      <c r="AU23" t="s">
        <v>886</v>
      </c>
      <c r="AW23" t="s">
        <v>1150</v>
      </c>
      <c r="AX23" t="s">
        <v>1151</v>
      </c>
      <c r="AZ23" t="s">
        <v>969</v>
      </c>
      <c r="BA23" t="s">
        <v>1152</v>
      </c>
      <c r="BK23" t="s">
        <v>891</v>
      </c>
      <c r="BL23">
        <v>423</v>
      </c>
      <c r="BM23">
        <v>66.27</v>
      </c>
      <c r="BN23">
        <v>9439.7000000000007</v>
      </c>
      <c r="BO23">
        <v>24199.91</v>
      </c>
      <c r="BP23">
        <v>24199.91</v>
      </c>
      <c r="BQ23">
        <v>24199.91</v>
      </c>
      <c r="BR23">
        <v>0</v>
      </c>
      <c r="BS23" t="s">
        <v>892</v>
      </c>
      <c r="BT23">
        <v>2529</v>
      </c>
      <c r="BV23" t="s">
        <v>1174</v>
      </c>
      <c r="BW23" t="s">
        <v>1175</v>
      </c>
      <c r="BX23" t="s">
        <v>895</v>
      </c>
      <c r="BY23" t="s">
        <v>1176</v>
      </c>
      <c r="CD23" t="s">
        <v>1177</v>
      </c>
      <c r="CG23" t="s">
        <v>1169</v>
      </c>
      <c r="CH23" t="s">
        <v>898</v>
      </c>
      <c r="CI23" t="s">
        <v>1178</v>
      </c>
      <c r="CJ23" t="s">
        <v>1178</v>
      </c>
      <c r="CP23" t="s">
        <v>1029</v>
      </c>
      <c r="CT23" t="s">
        <v>901</v>
      </c>
    </row>
    <row r="24" spans="1:98" x14ac:dyDescent="0.15">
      <c r="A24" t="s">
        <v>861</v>
      </c>
      <c r="B24" t="s">
        <v>862</v>
      </c>
      <c r="C24" t="s">
        <v>540</v>
      </c>
      <c r="D24" t="s">
        <v>540</v>
      </c>
      <c r="E24" t="s">
        <v>540</v>
      </c>
      <c r="F24" t="s">
        <v>863</v>
      </c>
      <c r="G24" t="s">
        <v>864</v>
      </c>
      <c r="H24" t="s">
        <v>916</v>
      </c>
      <c r="I24" t="s">
        <v>539</v>
      </c>
      <c r="J24" t="s">
        <v>1179</v>
      </c>
      <c r="K24" t="s">
        <v>977</v>
      </c>
      <c r="L24" t="s">
        <v>868</v>
      </c>
      <c r="N24" t="s">
        <v>861</v>
      </c>
      <c r="O24">
        <v>0</v>
      </c>
      <c r="P24" t="s">
        <v>1180</v>
      </c>
      <c r="Q24" t="s">
        <v>125</v>
      </c>
      <c r="R24" t="s">
        <v>919</v>
      </c>
      <c r="S24" t="s">
        <v>871</v>
      </c>
      <c r="T24" t="s">
        <v>1016</v>
      </c>
      <c r="U24" t="s">
        <v>1016</v>
      </c>
      <c r="V24" t="s">
        <v>1181</v>
      </c>
      <c r="W24" t="s">
        <v>1144</v>
      </c>
      <c r="Y24" t="s">
        <v>910</v>
      </c>
      <c r="Z24" t="s">
        <v>861</v>
      </c>
      <c r="AA24" t="s">
        <v>958</v>
      </c>
      <c r="AB24" t="s">
        <v>1182</v>
      </c>
      <c r="AD24" t="s">
        <v>923</v>
      </c>
      <c r="AE24" t="s">
        <v>1183</v>
      </c>
      <c r="AJ24" t="s">
        <v>861</v>
      </c>
      <c r="AK24" t="s">
        <v>880</v>
      </c>
      <c r="AL24" t="s">
        <v>881</v>
      </c>
      <c r="AM24" t="s">
        <v>882</v>
      </c>
      <c r="AP24" t="s">
        <v>1003</v>
      </c>
      <c r="AQ24" t="s">
        <v>1014</v>
      </c>
      <c r="AS24" t="s">
        <v>1014</v>
      </c>
      <c r="AT24" t="s">
        <v>1014</v>
      </c>
      <c r="AU24" t="s">
        <v>886</v>
      </c>
      <c r="AW24" t="s">
        <v>1015</v>
      </c>
      <c r="AX24" t="s">
        <v>1050</v>
      </c>
      <c r="AZ24" t="s">
        <v>1051</v>
      </c>
      <c r="BA24" t="s">
        <v>1018</v>
      </c>
      <c r="BK24" t="s">
        <v>891</v>
      </c>
      <c r="BL24">
        <v>730</v>
      </c>
      <c r="BM24">
        <v>69.650000000000006</v>
      </c>
      <c r="BN24">
        <v>12566</v>
      </c>
      <c r="BO24">
        <v>25687.1</v>
      </c>
      <c r="BP24">
        <v>25687.1</v>
      </c>
      <c r="BQ24">
        <v>25687.1</v>
      </c>
      <c r="BR24">
        <v>0</v>
      </c>
      <c r="BS24" t="s">
        <v>892</v>
      </c>
      <c r="BT24">
        <v>3006.1</v>
      </c>
      <c r="BV24" t="s">
        <v>1184</v>
      </c>
      <c r="BW24" t="s">
        <v>1185</v>
      </c>
      <c r="BX24" t="s">
        <v>895</v>
      </c>
      <c r="BY24" t="s">
        <v>1186</v>
      </c>
      <c r="CD24" t="s">
        <v>1187</v>
      </c>
      <c r="CG24" t="s">
        <v>1188</v>
      </c>
      <c r="CH24" t="s">
        <v>994</v>
      </c>
      <c r="CI24" t="s">
        <v>1188</v>
      </c>
      <c r="CJ24" t="s">
        <v>1188</v>
      </c>
      <c r="CP24" t="s">
        <v>1078</v>
      </c>
      <c r="CT24" t="s">
        <v>901</v>
      </c>
    </row>
    <row r="25" spans="1:98" x14ac:dyDescent="0.15">
      <c r="A25" t="s">
        <v>861</v>
      </c>
      <c r="B25" t="s">
        <v>862</v>
      </c>
      <c r="C25" t="s">
        <v>585</v>
      </c>
      <c r="D25" t="s">
        <v>585</v>
      </c>
      <c r="E25" t="s">
        <v>585</v>
      </c>
      <c r="F25" t="s">
        <v>863</v>
      </c>
      <c r="G25" t="s">
        <v>864</v>
      </c>
      <c r="H25" t="s">
        <v>916</v>
      </c>
      <c r="I25" t="s">
        <v>584</v>
      </c>
      <c r="J25" t="s">
        <v>1189</v>
      </c>
      <c r="K25" t="s">
        <v>977</v>
      </c>
      <c r="L25" t="s">
        <v>868</v>
      </c>
      <c r="N25" t="s">
        <v>861</v>
      </c>
      <c r="O25">
        <v>0</v>
      </c>
      <c r="P25" t="s">
        <v>1180</v>
      </c>
      <c r="Q25" t="s">
        <v>125</v>
      </c>
      <c r="R25" t="s">
        <v>919</v>
      </c>
      <c r="S25" t="s">
        <v>871</v>
      </c>
      <c r="T25" t="s">
        <v>1050</v>
      </c>
      <c r="U25" t="s">
        <v>1050</v>
      </c>
      <c r="V25" t="s">
        <v>1048</v>
      </c>
      <c r="Y25" t="s">
        <v>874</v>
      </c>
      <c r="Z25" t="s">
        <v>861</v>
      </c>
      <c r="AA25" t="s">
        <v>922</v>
      </c>
      <c r="AD25" t="s">
        <v>923</v>
      </c>
      <c r="AE25" t="s">
        <v>1190</v>
      </c>
      <c r="AJ25" t="s">
        <v>861</v>
      </c>
      <c r="AK25" t="s">
        <v>880</v>
      </c>
      <c r="AL25" t="s">
        <v>881</v>
      </c>
      <c r="AM25" t="s">
        <v>882</v>
      </c>
      <c r="AP25" t="s">
        <v>925</v>
      </c>
      <c r="AQ25" t="s">
        <v>926</v>
      </c>
      <c r="AS25" t="s">
        <v>926</v>
      </c>
      <c r="AT25" t="s">
        <v>926</v>
      </c>
      <c r="AU25" t="s">
        <v>886</v>
      </c>
      <c r="AW25" t="s">
        <v>927</v>
      </c>
      <c r="AX25" t="s">
        <v>928</v>
      </c>
      <c r="AZ25" t="s">
        <v>1191</v>
      </c>
      <c r="BA25" t="s">
        <v>930</v>
      </c>
      <c r="BK25" t="s">
        <v>891</v>
      </c>
      <c r="BL25">
        <v>691</v>
      </c>
      <c r="BM25">
        <v>65.67</v>
      </c>
      <c r="BN25">
        <v>18731</v>
      </c>
      <c r="BO25">
        <v>25683.73</v>
      </c>
      <c r="BP25">
        <v>25683.73</v>
      </c>
      <c r="BQ25">
        <v>25683.73</v>
      </c>
      <c r="BR25">
        <v>0</v>
      </c>
      <c r="BS25" t="s">
        <v>892</v>
      </c>
      <c r="BT25">
        <v>2934.1</v>
      </c>
      <c r="BV25" t="s">
        <v>1192</v>
      </c>
      <c r="BW25" t="s">
        <v>1193</v>
      </c>
      <c r="BX25" t="s">
        <v>895</v>
      </c>
      <c r="BY25" t="s">
        <v>1194</v>
      </c>
      <c r="CD25" t="s">
        <v>1195</v>
      </c>
      <c r="CG25" t="s">
        <v>1196</v>
      </c>
      <c r="CH25" t="s">
        <v>994</v>
      </c>
      <c r="CI25" t="s">
        <v>1196</v>
      </c>
      <c r="CJ25" t="s">
        <v>1196</v>
      </c>
      <c r="CP25" t="s">
        <v>1131</v>
      </c>
      <c r="CT25" t="s">
        <v>901</v>
      </c>
    </row>
    <row r="26" spans="1:98" x14ac:dyDescent="0.15">
      <c r="A26" t="s">
        <v>861</v>
      </c>
      <c r="B26" t="s">
        <v>862</v>
      </c>
      <c r="C26" t="s">
        <v>546</v>
      </c>
      <c r="D26" t="s">
        <v>546</v>
      </c>
      <c r="E26" t="s">
        <v>546</v>
      </c>
      <c r="F26" t="s">
        <v>863</v>
      </c>
      <c r="G26" t="s">
        <v>864</v>
      </c>
      <c r="H26" t="s">
        <v>916</v>
      </c>
      <c r="I26" t="s">
        <v>544</v>
      </c>
      <c r="J26" t="s">
        <v>1197</v>
      </c>
      <c r="K26" t="s">
        <v>977</v>
      </c>
      <c r="L26" t="s">
        <v>868</v>
      </c>
      <c r="N26" t="s">
        <v>861</v>
      </c>
      <c r="O26">
        <v>0</v>
      </c>
      <c r="P26" t="s">
        <v>1180</v>
      </c>
      <c r="Q26" t="s">
        <v>125</v>
      </c>
      <c r="R26" t="s">
        <v>919</v>
      </c>
      <c r="S26" t="s">
        <v>871</v>
      </c>
      <c r="T26" t="s">
        <v>1198</v>
      </c>
      <c r="U26" t="s">
        <v>1198</v>
      </c>
      <c r="V26" t="s">
        <v>1013</v>
      </c>
      <c r="Y26" t="s">
        <v>910</v>
      </c>
      <c r="Z26" t="s">
        <v>861</v>
      </c>
      <c r="AA26" t="s">
        <v>922</v>
      </c>
      <c r="AD26" t="s">
        <v>923</v>
      </c>
      <c r="AE26" t="s">
        <v>1199</v>
      </c>
      <c r="AJ26" t="s">
        <v>861</v>
      </c>
      <c r="AK26" t="s">
        <v>880</v>
      </c>
      <c r="AL26" t="s">
        <v>881</v>
      </c>
      <c r="AM26" t="s">
        <v>882</v>
      </c>
      <c r="AP26" t="s">
        <v>987</v>
      </c>
      <c r="AQ26" t="s">
        <v>1200</v>
      </c>
      <c r="AS26" t="s">
        <v>1200</v>
      </c>
      <c r="AT26" t="s">
        <v>1200</v>
      </c>
      <c r="AU26" t="s">
        <v>886</v>
      </c>
      <c r="AW26" t="s">
        <v>1201</v>
      </c>
      <c r="AX26" t="s">
        <v>1202</v>
      </c>
      <c r="AZ26" t="s">
        <v>1203</v>
      </c>
      <c r="BA26" t="s">
        <v>1204</v>
      </c>
      <c r="BK26" t="s">
        <v>891</v>
      </c>
      <c r="BL26">
        <v>795</v>
      </c>
      <c r="BM26">
        <v>69.3</v>
      </c>
      <c r="BN26">
        <v>18845.55</v>
      </c>
      <c r="BO26">
        <v>25829.4</v>
      </c>
      <c r="BP26">
        <v>25829.4</v>
      </c>
      <c r="BQ26">
        <v>25829.4</v>
      </c>
      <c r="BR26">
        <v>0</v>
      </c>
      <c r="BS26" t="s">
        <v>892</v>
      </c>
      <c r="BT26">
        <v>2934.1</v>
      </c>
      <c r="BV26" t="s">
        <v>1205</v>
      </c>
      <c r="BW26" t="s">
        <v>1206</v>
      </c>
      <c r="BX26" t="s">
        <v>895</v>
      </c>
      <c r="BY26" t="s">
        <v>1207</v>
      </c>
      <c r="CD26" t="s">
        <v>1208</v>
      </c>
      <c r="CG26" t="s">
        <v>1209</v>
      </c>
      <c r="CH26" t="s">
        <v>994</v>
      </c>
      <c r="CI26" t="s">
        <v>1209</v>
      </c>
      <c r="CJ26" t="s">
        <v>1209</v>
      </c>
      <c r="CP26" t="s">
        <v>921</v>
      </c>
      <c r="CS26" t="s">
        <v>1210</v>
      </c>
      <c r="CT26" t="s">
        <v>901</v>
      </c>
    </row>
    <row r="27" spans="1:98" x14ac:dyDescent="0.15">
      <c r="A27" t="s">
        <v>861</v>
      </c>
      <c r="B27" t="s">
        <v>862</v>
      </c>
      <c r="C27" t="s">
        <v>556</v>
      </c>
      <c r="D27" t="s">
        <v>556</v>
      </c>
      <c r="E27" t="s">
        <v>556</v>
      </c>
      <c r="F27" t="s">
        <v>863</v>
      </c>
      <c r="G27" t="s">
        <v>864</v>
      </c>
      <c r="H27" t="s">
        <v>916</v>
      </c>
      <c r="I27" t="s">
        <v>555</v>
      </c>
      <c r="J27" t="s">
        <v>1211</v>
      </c>
      <c r="K27" t="s">
        <v>977</v>
      </c>
      <c r="L27" t="s">
        <v>868</v>
      </c>
      <c r="N27" t="s">
        <v>861</v>
      </c>
      <c r="O27">
        <v>0</v>
      </c>
      <c r="P27" t="s">
        <v>1180</v>
      </c>
      <c r="Q27" t="s">
        <v>125</v>
      </c>
      <c r="R27" t="s">
        <v>919</v>
      </c>
      <c r="S27" t="s">
        <v>871</v>
      </c>
      <c r="T27" t="s">
        <v>1198</v>
      </c>
      <c r="U27" t="s">
        <v>1198</v>
      </c>
      <c r="V27" t="s">
        <v>1212</v>
      </c>
      <c r="Y27" t="s">
        <v>874</v>
      </c>
      <c r="Z27" t="s">
        <v>861</v>
      </c>
      <c r="AA27" t="s">
        <v>922</v>
      </c>
      <c r="AD27" t="s">
        <v>923</v>
      </c>
      <c r="AE27" t="s">
        <v>1213</v>
      </c>
      <c r="AJ27" t="s">
        <v>861</v>
      </c>
      <c r="AK27" t="s">
        <v>880</v>
      </c>
      <c r="AL27" t="s">
        <v>881</v>
      </c>
      <c r="AM27" t="s">
        <v>882</v>
      </c>
      <c r="AP27" t="s">
        <v>987</v>
      </c>
      <c r="AQ27" t="s">
        <v>1200</v>
      </c>
      <c r="AS27" t="s">
        <v>1200</v>
      </c>
      <c r="AT27" t="s">
        <v>1200</v>
      </c>
      <c r="AU27" t="s">
        <v>886</v>
      </c>
      <c r="AW27" t="s">
        <v>1201</v>
      </c>
      <c r="AX27" t="s">
        <v>1202</v>
      </c>
      <c r="AZ27" t="s">
        <v>1203</v>
      </c>
      <c r="BA27" t="s">
        <v>1204</v>
      </c>
      <c r="BK27" t="s">
        <v>891</v>
      </c>
      <c r="BL27">
        <v>610</v>
      </c>
      <c r="BM27">
        <v>79.11</v>
      </c>
      <c r="BN27">
        <v>16203.8</v>
      </c>
      <c r="BO27">
        <v>19546.099999999999</v>
      </c>
      <c r="BP27">
        <v>19546.099999999999</v>
      </c>
      <c r="BQ27">
        <v>19546.099999999999</v>
      </c>
      <c r="BR27">
        <v>0</v>
      </c>
      <c r="BS27" t="s">
        <v>892</v>
      </c>
      <c r="BT27">
        <v>2934.1</v>
      </c>
      <c r="BV27" t="s">
        <v>1214</v>
      </c>
      <c r="BW27" t="s">
        <v>1215</v>
      </c>
      <c r="BX27" t="s">
        <v>895</v>
      </c>
      <c r="BY27" t="s">
        <v>1216</v>
      </c>
      <c r="CD27" t="s">
        <v>1217</v>
      </c>
      <c r="CG27" t="s">
        <v>1218</v>
      </c>
      <c r="CH27" t="s">
        <v>994</v>
      </c>
      <c r="CI27" t="s">
        <v>1218</v>
      </c>
      <c r="CJ27" t="s">
        <v>1218</v>
      </c>
      <c r="CP27" t="s">
        <v>1219</v>
      </c>
      <c r="CT27" t="s">
        <v>901</v>
      </c>
    </row>
    <row r="28" spans="1:98" x14ac:dyDescent="0.15">
      <c r="A28" t="s">
        <v>861</v>
      </c>
      <c r="B28" t="s">
        <v>862</v>
      </c>
      <c r="C28" t="s">
        <v>190</v>
      </c>
      <c r="D28" t="s">
        <v>190</v>
      </c>
      <c r="E28" t="s">
        <v>190</v>
      </c>
      <c r="F28" t="s">
        <v>863</v>
      </c>
      <c r="G28" t="s">
        <v>1025</v>
      </c>
      <c r="H28" t="s">
        <v>1026</v>
      </c>
      <c r="I28" t="s">
        <v>189</v>
      </c>
      <c r="J28" t="s">
        <v>1220</v>
      </c>
      <c r="K28" t="s">
        <v>867</v>
      </c>
      <c r="L28" t="s">
        <v>868</v>
      </c>
      <c r="N28" t="s">
        <v>861</v>
      </c>
      <c r="O28">
        <v>0</v>
      </c>
      <c r="P28" t="s">
        <v>869</v>
      </c>
      <c r="Q28" t="s">
        <v>15</v>
      </c>
      <c r="R28" t="s">
        <v>870</v>
      </c>
      <c r="S28" t="s">
        <v>954</v>
      </c>
      <c r="T28" t="s">
        <v>1077</v>
      </c>
      <c r="U28" t="s">
        <v>1077</v>
      </c>
      <c r="V28" t="s">
        <v>1078</v>
      </c>
      <c r="W28" t="s">
        <v>1079</v>
      </c>
      <c r="Y28" t="s">
        <v>874</v>
      </c>
      <c r="Z28" t="s">
        <v>861</v>
      </c>
      <c r="AA28" t="s">
        <v>958</v>
      </c>
      <c r="AB28" t="s">
        <v>1221</v>
      </c>
      <c r="AF28" t="s">
        <v>1081</v>
      </c>
      <c r="AG28" t="s">
        <v>1222</v>
      </c>
      <c r="AH28" t="s">
        <v>964</v>
      </c>
      <c r="AI28" t="s">
        <v>1083</v>
      </c>
      <c r="AJ28" t="s">
        <v>861</v>
      </c>
      <c r="AK28" t="s">
        <v>880</v>
      </c>
      <c r="AL28" t="s">
        <v>1001</v>
      </c>
      <c r="AM28" t="s">
        <v>967</v>
      </c>
      <c r="AN28" t="s">
        <v>967</v>
      </c>
      <c r="AO28" t="s">
        <v>1223</v>
      </c>
      <c r="AP28" t="s">
        <v>1083</v>
      </c>
      <c r="AQ28" t="s">
        <v>1101</v>
      </c>
      <c r="AR28" t="s">
        <v>1224</v>
      </c>
      <c r="AS28" t="s">
        <v>1101</v>
      </c>
      <c r="AT28" t="s">
        <v>1101</v>
      </c>
      <c r="AU28" t="s">
        <v>886</v>
      </c>
      <c r="AW28" t="s">
        <v>1083</v>
      </c>
      <c r="AX28" t="s">
        <v>1225</v>
      </c>
      <c r="AZ28" t="s">
        <v>1226</v>
      </c>
      <c r="BA28" t="s">
        <v>1227</v>
      </c>
      <c r="BB28" t="s">
        <v>1228</v>
      </c>
      <c r="BK28" t="s">
        <v>891</v>
      </c>
      <c r="BL28">
        <v>753</v>
      </c>
      <c r="BM28">
        <v>65.31</v>
      </c>
      <c r="BN28">
        <v>7160.4</v>
      </c>
      <c r="BO28">
        <v>12391.72</v>
      </c>
      <c r="BP28">
        <v>12391.72</v>
      </c>
      <c r="BQ28">
        <v>12391.72</v>
      </c>
      <c r="BR28">
        <v>0</v>
      </c>
      <c r="BS28" t="s">
        <v>892</v>
      </c>
      <c r="BT28">
        <v>2529</v>
      </c>
      <c r="BV28" t="s">
        <v>1092</v>
      </c>
      <c r="BW28" t="s">
        <v>1093</v>
      </c>
      <c r="BX28" t="s">
        <v>895</v>
      </c>
      <c r="BY28" t="s">
        <v>1229</v>
      </c>
      <c r="CD28" t="s">
        <v>1119</v>
      </c>
      <c r="CG28" t="s">
        <v>1220</v>
      </c>
      <c r="CH28" t="s">
        <v>898</v>
      </c>
      <c r="CI28" t="s">
        <v>1230</v>
      </c>
      <c r="CJ28" t="s">
        <v>1230</v>
      </c>
      <c r="CM28" t="s">
        <v>1044</v>
      </c>
      <c r="CN28" t="s">
        <v>1045</v>
      </c>
      <c r="CO28" t="s">
        <v>1231</v>
      </c>
      <c r="CP28" t="s">
        <v>1029</v>
      </c>
      <c r="CT28" t="s">
        <v>901</v>
      </c>
    </row>
    <row r="29" spans="1:98" x14ac:dyDescent="0.15">
      <c r="A29" t="s">
        <v>861</v>
      </c>
      <c r="B29" t="s">
        <v>862</v>
      </c>
      <c r="C29" t="s">
        <v>653</v>
      </c>
      <c r="D29" t="s">
        <v>653</v>
      </c>
      <c r="E29" t="s">
        <v>653</v>
      </c>
      <c r="F29" t="s">
        <v>863</v>
      </c>
      <c r="G29" t="s">
        <v>864</v>
      </c>
      <c r="H29" t="s">
        <v>863</v>
      </c>
      <c r="I29" t="s">
        <v>652</v>
      </c>
      <c r="J29" t="s">
        <v>1232</v>
      </c>
      <c r="K29" t="s">
        <v>977</v>
      </c>
      <c r="L29" t="s">
        <v>868</v>
      </c>
      <c r="N29" t="s">
        <v>861</v>
      </c>
      <c r="O29">
        <v>0</v>
      </c>
      <c r="P29" t="s">
        <v>960</v>
      </c>
      <c r="Q29" t="s">
        <v>125</v>
      </c>
      <c r="R29" t="s">
        <v>1123</v>
      </c>
      <c r="S29" t="s">
        <v>871</v>
      </c>
      <c r="T29" t="s">
        <v>1233</v>
      </c>
      <c r="U29" t="s">
        <v>1233</v>
      </c>
      <c r="V29" t="s">
        <v>1234</v>
      </c>
      <c r="Y29" t="s">
        <v>874</v>
      </c>
      <c r="Z29" t="s">
        <v>861</v>
      </c>
      <c r="AA29" t="s">
        <v>922</v>
      </c>
      <c r="AJ29" t="s">
        <v>861</v>
      </c>
      <c r="AK29" t="s">
        <v>880</v>
      </c>
      <c r="AL29" t="s">
        <v>881</v>
      </c>
      <c r="AM29" t="s">
        <v>882</v>
      </c>
      <c r="AP29" t="s">
        <v>889</v>
      </c>
      <c r="AQ29" t="s">
        <v>1014</v>
      </c>
      <c r="AS29" t="s">
        <v>1014</v>
      </c>
      <c r="AT29" t="s">
        <v>1014</v>
      </c>
      <c r="AU29" t="s">
        <v>886</v>
      </c>
      <c r="AW29" t="s">
        <v>1015</v>
      </c>
      <c r="AX29" t="s">
        <v>1050</v>
      </c>
      <c r="AZ29" t="s">
        <v>1051</v>
      </c>
      <c r="BA29" t="s">
        <v>1018</v>
      </c>
      <c r="BK29" t="s">
        <v>1134</v>
      </c>
      <c r="BL29">
        <v>484</v>
      </c>
      <c r="BM29">
        <v>70.25</v>
      </c>
      <c r="BN29">
        <v>9299</v>
      </c>
      <c r="BO29">
        <v>21064.5</v>
      </c>
      <c r="BP29">
        <v>21064.5</v>
      </c>
      <c r="BQ29">
        <v>23953.4</v>
      </c>
      <c r="BR29">
        <v>2888.9</v>
      </c>
      <c r="BS29" t="s">
        <v>892</v>
      </c>
      <c r="BT29">
        <v>2886</v>
      </c>
      <c r="BV29" t="s">
        <v>1235</v>
      </c>
      <c r="BW29" t="s">
        <v>1236</v>
      </c>
      <c r="BX29" t="s">
        <v>895</v>
      </c>
      <c r="BY29" t="s">
        <v>1237</v>
      </c>
      <c r="CD29" t="s">
        <v>1238</v>
      </c>
      <c r="CG29" t="s">
        <v>1239</v>
      </c>
      <c r="CH29" t="s">
        <v>994</v>
      </c>
      <c r="CI29" t="s">
        <v>1239</v>
      </c>
      <c r="CJ29" t="s">
        <v>1239</v>
      </c>
      <c r="CP29" t="s">
        <v>1240</v>
      </c>
      <c r="CT29" t="s">
        <v>901</v>
      </c>
    </row>
    <row r="30" spans="1:98" x14ac:dyDescent="0.15">
      <c r="A30" t="s">
        <v>861</v>
      </c>
      <c r="B30" t="s">
        <v>862</v>
      </c>
      <c r="C30" t="s">
        <v>120</v>
      </c>
      <c r="D30" t="s">
        <v>120</v>
      </c>
      <c r="E30" t="s">
        <v>120</v>
      </c>
      <c r="F30" t="s">
        <v>863</v>
      </c>
      <c r="G30" t="s">
        <v>1025</v>
      </c>
      <c r="H30" t="s">
        <v>1026</v>
      </c>
      <c r="I30" t="s">
        <v>116</v>
      </c>
      <c r="J30" t="s">
        <v>1241</v>
      </c>
      <c r="K30" t="s">
        <v>867</v>
      </c>
      <c r="L30" t="s">
        <v>868</v>
      </c>
      <c r="N30" t="s">
        <v>861</v>
      </c>
      <c r="O30">
        <v>0</v>
      </c>
      <c r="P30" t="s">
        <v>1142</v>
      </c>
      <c r="Q30" t="s">
        <v>19</v>
      </c>
      <c r="R30" t="s">
        <v>919</v>
      </c>
      <c r="S30" t="s">
        <v>979</v>
      </c>
      <c r="T30" t="s">
        <v>1242</v>
      </c>
      <c r="U30" t="s">
        <v>1242</v>
      </c>
      <c r="V30" t="s">
        <v>873</v>
      </c>
      <c r="W30" t="s">
        <v>1243</v>
      </c>
      <c r="Y30" t="s">
        <v>874</v>
      </c>
      <c r="Z30" t="s">
        <v>861</v>
      </c>
      <c r="AA30" t="s">
        <v>958</v>
      </c>
      <c r="AB30" t="s">
        <v>1244</v>
      </c>
      <c r="AF30" t="s">
        <v>1245</v>
      </c>
      <c r="AG30" t="s">
        <v>1246</v>
      </c>
      <c r="AH30" t="s">
        <v>1247</v>
      </c>
      <c r="AI30" t="s">
        <v>1248</v>
      </c>
      <c r="AJ30" t="s">
        <v>861</v>
      </c>
      <c r="AK30" t="s">
        <v>880</v>
      </c>
      <c r="AL30" t="s">
        <v>913</v>
      </c>
      <c r="AM30" t="s">
        <v>986</v>
      </c>
      <c r="AN30" t="s">
        <v>986</v>
      </c>
      <c r="AO30" t="s">
        <v>1249</v>
      </c>
      <c r="AP30" t="s">
        <v>1248</v>
      </c>
      <c r="AQ30" t="s">
        <v>1250</v>
      </c>
      <c r="AR30" t="s">
        <v>1251</v>
      </c>
      <c r="AS30" t="s">
        <v>1250</v>
      </c>
      <c r="AT30" t="s">
        <v>1250</v>
      </c>
      <c r="AU30" t="s">
        <v>886</v>
      </c>
      <c r="AW30" t="s">
        <v>1250</v>
      </c>
      <c r="AX30" t="s">
        <v>1250</v>
      </c>
      <c r="AZ30" t="s">
        <v>1252</v>
      </c>
      <c r="BA30" t="s">
        <v>1128</v>
      </c>
      <c r="BB30" t="s">
        <v>1253</v>
      </c>
      <c r="BK30" t="s">
        <v>891</v>
      </c>
      <c r="BL30">
        <v>1531</v>
      </c>
      <c r="BM30">
        <v>67.64</v>
      </c>
      <c r="BN30">
        <v>19144</v>
      </c>
      <c r="BO30">
        <v>34747.31</v>
      </c>
      <c r="BP30">
        <v>34747.31</v>
      </c>
      <c r="BQ30">
        <v>34747.31</v>
      </c>
      <c r="BR30">
        <v>0</v>
      </c>
      <c r="BS30" t="s">
        <v>892</v>
      </c>
      <c r="BT30">
        <v>1639</v>
      </c>
      <c r="BV30" t="s">
        <v>1254</v>
      </c>
      <c r="BW30" t="s">
        <v>894</v>
      </c>
      <c r="BX30" t="s">
        <v>895</v>
      </c>
      <c r="BY30" t="s">
        <v>1255</v>
      </c>
      <c r="CD30" t="s">
        <v>1074</v>
      </c>
      <c r="CG30" t="s">
        <v>1241</v>
      </c>
      <c r="CH30" t="s">
        <v>898</v>
      </c>
      <c r="CI30" t="s">
        <v>1256</v>
      </c>
      <c r="CJ30" t="s">
        <v>1256</v>
      </c>
      <c r="CM30" t="s">
        <v>1044</v>
      </c>
      <c r="CN30" t="s">
        <v>1045</v>
      </c>
      <c r="CO30" t="s">
        <v>1257</v>
      </c>
      <c r="CP30" t="s">
        <v>974</v>
      </c>
      <c r="CT30" t="s">
        <v>901</v>
      </c>
    </row>
    <row r="31" spans="1:98" x14ac:dyDescent="0.15">
      <c r="A31" t="s">
        <v>861</v>
      </c>
      <c r="B31" t="s">
        <v>862</v>
      </c>
      <c r="C31" t="s">
        <v>153</v>
      </c>
      <c r="D31" t="s">
        <v>153</v>
      </c>
      <c r="E31" t="s">
        <v>153</v>
      </c>
      <c r="F31" t="s">
        <v>863</v>
      </c>
      <c r="G31" t="s">
        <v>1025</v>
      </c>
      <c r="H31" t="s">
        <v>865</v>
      </c>
      <c r="I31" t="s">
        <v>152</v>
      </c>
      <c r="J31" t="s">
        <v>1258</v>
      </c>
      <c r="K31" t="s">
        <v>977</v>
      </c>
      <c r="L31" t="s">
        <v>868</v>
      </c>
      <c r="N31" t="s">
        <v>1259</v>
      </c>
      <c r="O31">
        <v>0</v>
      </c>
      <c r="P31" t="s">
        <v>960</v>
      </c>
      <c r="Q31" t="s">
        <v>15</v>
      </c>
      <c r="R31" t="s">
        <v>1123</v>
      </c>
      <c r="S31" t="s">
        <v>954</v>
      </c>
      <c r="T31" t="s">
        <v>1260</v>
      </c>
      <c r="U31" t="s">
        <v>1260</v>
      </c>
      <c r="V31" t="s">
        <v>1048</v>
      </c>
      <c r="W31" t="s">
        <v>1261</v>
      </c>
      <c r="Y31" t="s">
        <v>874</v>
      </c>
      <c r="Z31" t="s">
        <v>861</v>
      </c>
      <c r="AA31" t="s">
        <v>875</v>
      </c>
      <c r="AD31" t="s">
        <v>1262</v>
      </c>
      <c r="AF31" t="s">
        <v>1263</v>
      </c>
      <c r="AG31" t="s">
        <v>1260</v>
      </c>
      <c r="AH31" t="s">
        <v>964</v>
      </c>
      <c r="AI31" t="s">
        <v>1264</v>
      </c>
      <c r="AJ31" t="s">
        <v>861</v>
      </c>
      <c r="AK31" t="s">
        <v>880</v>
      </c>
      <c r="AL31" t="s">
        <v>1001</v>
      </c>
      <c r="AM31" t="s">
        <v>967</v>
      </c>
      <c r="AP31" t="s">
        <v>1264</v>
      </c>
      <c r="AQ31" t="s">
        <v>1088</v>
      </c>
      <c r="AR31" t="s">
        <v>1265</v>
      </c>
      <c r="AS31" t="s">
        <v>1088</v>
      </c>
      <c r="AT31" t="s">
        <v>1088</v>
      </c>
      <c r="AU31" t="s">
        <v>886</v>
      </c>
      <c r="AW31" t="s">
        <v>1226</v>
      </c>
      <c r="AX31" t="s">
        <v>957</v>
      </c>
      <c r="AZ31" t="s">
        <v>1266</v>
      </c>
      <c r="BA31" t="s">
        <v>1267</v>
      </c>
      <c r="BK31" t="s">
        <v>1134</v>
      </c>
      <c r="BL31">
        <v>740</v>
      </c>
      <c r="BM31">
        <v>65.5</v>
      </c>
      <c r="BN31">
        <v>9385</v>
      </c>
      <c r="BO31">
        <v>32497.200000000001</v>
      </c>
      <c r="BP31">
        <v>32497.200000000001</v>
      </c>
      <c r="BQ31">
        <v>35387.480000000003</v>
      </c>
      <c r="BR31">
        <v>2890.28</v>
      </c>
      <c r="BS31" t="s">
        <v>892</v>
      </c>
      <c r="BT31">
        <v>2886</v>
      </c>
      <c r="BV31" t="s">
        <v>1268</v>
      </c>
      <c r="BW31" t="s">
        <v>1269</v>
      </c>
      <c r="BX31" t="s">
        <v>895</v>
      </c>
      <c r="BY31" t="s">
        <v>1054</v>
      </c>
      <c r="CD31" t="s">
        <v>1270</v>
      </c>
      <c r="CG31" t="s">
        <v>1271</v>
      </c>
      <c r="CH31" t="s">
        <v>994</v>
      </c>
      <c r="CI31" t="s">
        <v>1271</v>
      </c>
      <c r="CJ31" t="s">
        <v>1271</v>
      </c>
      <c r="CP31" t="s">
        <v>1272</v>
      </c>
      <c r="CT31" t="s">
        <v>901</v>
      </c>
    </row>
    <row r="32" spans="1:98" x14ac:dyDescent="0.15">
      <c r="A32" t="s">
        <v>861</v>
      </c>
      <c r="B32" t="s">
        <v>862</v>
      </c>
      <c r="C32" t="s">
        <v>683</v>
      </c>
      <c r="D32" t="s">
        <v>683</v>
      </c>
      <c r="E32" t="s">
        <v>683</v>
      </c>
      <c r="F32" t="s">
        <v>863</v>
      </c>
      <c r="G32" t="s">
        <v>864</v>
      </c>
      <c r="H32" t="s">
        <v>863</v>
      </c>
      <c r="I32" t="s">
        <v>682</v>
      </c>
      <c r="J32" t="s">
        <v>1273</v>
      </c>
      <c r="K32" t="s">
        <v>977</v>
      </c>
      <c r="L32" t="s">
        <v>868</v>
      </c>
      <c r="N32" t="s">
        <v>861</v>
      </c>
      <c r="O32">
        <v>0</v>
      </c>
      <c r="P32" t="s">
        <v>978</v>
      </c>
      <c r="Q32" t="s">
        <v>125</v>
      </c>
      <c r="R32" t="s">
        <v>919</v>
      </c>
      <c r="S32" t="s">
        <v>871</v>
      </c>
      <c r="T32" t="s">
        <v>1274</v>
      </c>
      <c r="U32" t="s">
        <v>1274</v>
      </c>
      <c r="V32" t="s">
        <v>1275</v>
      </c>
      <c r="Y32" t="s">
        <v>874</v>
      </c>
      <c r="Z32" t="s">
        <v>861</v>
      </c>
      <c r="AA32" t="s">
        <v>922</v>
      </c>
      <c r="AJ32" t="s">
        <v>861</v>
      </c>
      <c r="AK32" t="s">
        <v>880</v>
      </c>
      <c r="AL32" t="s">
        <v>881</v>
      </c>
      <c r="AM32" t="s">
        <v>882</v>
      </c>
      <c r="AP32" t="s">
        <v>1276</v>
      </c>
      <c r="AQ32" t="s">
        <v>1277</v>
      </c>
      <c r="AS32" t="s">
        <v>1277</v>
      </c>
      <c r="AT32" t="s">
        <v>1277</v>
      </c>
      <c r="AU32" t="s">
        <v>886</v>
      </c>
      <c r="AW32" t="s">
        <v>926</v>
      </c>
      <c r="AX32" t="s">
        <v>1278</v>
      </c>
      <c r="AZ32" t="s">
        <v>1162</v>
      </c>
      <c r="BA32" t="s">
        <v>928</v>
      </c>
      <c r="BK32" t="s">
        <v>891</v>
      </c>
      <c r="BL32">
        <v>660</v>
      </c>
      <c r="BM32">
        <v>67.11</v>
      </c>
      <c r="BN32">
        <v>7323.3</v>
      </c>
      <c r="BO32">
        <v>20139.54</v>
      </c>
      <c r="BP32">
        <v>20139.54</v>
      </c>
      <c r="BQ32">
        <v>20139.54</v>
      </c>
      <c r="BR32">
        <v>0</v>
      </c>
      <c r="BS32" t="s">
        <v>892</v>
      </c>
      <c r="BT32">
        <v>2934.1</v>
      </c>
      <c r="BV32" t="s">
        <v>1279</v>
      </c>
      <c r="BW32" t="s">
        <v>1280</v>
      </c>
      <c r="BX32" t="s">
        <v>895</v>
      </c>
      <c r="BY32" t="s">
        <v>1281</v>
      </c>
      <c r="CD32" t="s">
        <v>1282</v>
      </c>
      <c r="CG32" t="s">
        <v>1283</v>
      </c>
      <c r="CH32" t="s">
        <v>994</v>
      </c>
      <c r="CI32" t="s">
        <v>1283</v>
      </c>
      <c r="CJ32" t="s">
        <v>1283</v>
      </c>
      <c r="CP32" t="s">
        <v>1212</v>
      </c>
      <c r="CT32" t="s">
        <v>901</v>
      </c>
    </row>
    <row r="33" spans="1:98" x14ac:dyDescent="0.15">
      <c r="A33" t="s">
        <v>861</v>
      </c>
      <c r="B33" t="s">
        <v>862</v>
      </c>
      <c r="C33" t="s">
        <v>403</v>
      </c>
      <c r="D33" t="s">
        <v>403</v>
      </c>
      <c r="E33" t="s">
        <v>403</v>
      </c>
      <c r="F33" t="s">
        <v>863</v>
      </c>
      <c r="G33" t="s">
        <v>1025</v>
      </c>
      <c r="H33" t="s">
        <v>1026</v>
      </c>
      <c r="I33" t="s">
        <v>402</v>
      </c>
      <c r="J33" t="s">
        <v>1284</v>
      </c>
      <c r="K33" t="s">
        <v>867</v>
      </c>
      <c r="L33" t="s">
        <v>868</v>
      </c>
      <c r="N33" t="s">
        <v>1259</v>
      </c>
      <c r="O33">
        <v>0</v>
      </c>
      <c r="P33" t="s">
        <v>869</v>
      </c>
      <c r="Q33" t="s">
        <v>19</v>
      </c>
      <c r="R33" t="s">
        <v>870</v>
      </c>
      <c r="S33" t="s">
        <v>979</v>
      </c>
      <c r="T33" t="s">
        <v>1285</v>
      </c>
      <c r="U33" t="s">
        <v>1285</v>
      </c>
      <c r="V33" t="s">
        <v>998</v>
      </c>
      <c r="W33" t="s">
        <v>1286</v>
      </c>
      <c r="Y33" t="s">
        <v>874</v>
      </c>
      <c r="Z33" t="s">
        <v>861</v>
      </c>
      <c r="AA33" t="s">
        <v>958</v>
      </c>
      <c r="AB33" t="s">
        <v>1287</v>
      </c>
      <c r="AF33" t="s">
        <v>1288</v>
      </c>
      <c r="AG33" t="s">
        <v>1289</v>
      </c>
      <c r="AH33" t="s">
        <v>1247</v>
      </c>
      <c r="AI33" t="s">
        <v>1290</v>
      </c>
      <c r="AJ33" t="s">
        <v>861</v>
      </c>
      <c r="AK33" t="s">
        <v>880</v>
      </c>
      <c r="AL33" t="s">
        <v>913</v>
      </c>
      <c r="AM33" t="s">
        <v>986</v>
      </c>
      <c r="AN33" t="s">
        <v>986</v>
      </c>
      <c r="AO33" t="s">
        <v>1291</v>
      </c>
      <c r="AP33" t="s">
        <v>1290</v>
      </c>
      <c r="AQ33" t="s">
        <v>1292</v>
      </c>
      <c r="AR33" t="s">
        <v>1293</v>
      </c>
      <c r="AS33" t="s">
        <v>1292</v>
      </c>
      <c r="AT33" t="s">
        <v>1292</v>
      </c>
      <c r="AU33" t="s">
        <v>886</v>
      </c>
      <c r="AW33" t="s">
        <v>1292</v>
      </c>
      <c r="AX33" t="s">
        <v>1292</v>
      </c>
      <c r="AZ33" t="s">
        <v>1144</v>
      </c>
      <c r="BA33" t="s">
        <v>1240</v>
      </c>
      <c r="BB33" t="s">
        <v>1294</v>
      </c>
      <c r="BK33" t="s">
        <v>891</v>
      </c>
      <c r="BL33">
        <v>620</v>
      </c>
      <c r="BM33">
        <v>68.760000000000005</v>
      </c>
      <c r="BN33">
        <v>18435</v>
      </c>
      <c r="BO33">
        <v>65508</v>
      </c>
      <c r="BP33">
        <v>65508</v>
      </c>
      <c r="BQ33">
        <v>65508</v>
      </c>
      <c r="BR33">
        <v>0</v>
      </c>
      <c r="BS33" t="s">
        <v>892</v>
      </c>
      <c r="BT33">
        <v>1500</v>
      </c>
      <c r="BV33" t="s">
        <v>1295</v>
      </c>
      <c r="BW33" t="s">
        <v>1154</v>
      </c>
      <c r="BX33" t="s">
        <v>895</v>
      </c>
      <c r="BY33" t="s">
        <v>1296</v>
      </c>
      <c r="CD33" t="s">
        <v>1297</v>
      </c>
      <c r="CG33" t="s">
        <v>1284</v>
      </c>
      <c r="CH33" t="s">
        <v>898</v>
      </c>
      <c r="CI33" t="s">
        <v>1298</v>
      </c>
      <c r="CJ33" t="s">
        <v>1298</v>
      </c>
      <c r="CM33" t="s">
        <v>1044</v>
      </c>
      <c r="CN33" t="s">
        <v>1045</v>
      </c>
      <c r="CO33" t="s">
        <v>1299</v>
      </c>
      <c r="CP33" t="s">
        <v>1300</v>
      </c>
      <c r="CT33" t="s">
        <v>901</v>
      </c>
    </row>
    <row r="34" spans="1:98" x14ac:dyDescent="0.15">
      <c r="A34" t="s">
        <v>861</v>
      </c>
      <c r="B34" t="s">
        <v>862</v>
      </c>
      <c r="C34" t="s">
        <v>318</v>
      </c>
      <c r="D34" t="s">
        <v>318</v>
      </c>
      <c r="E34" t="s">
        <v>318</v>
      </c>
      <c r="F34" t="s">
        <v>863</v>
      </c>
      <c r="G34" t="s">
        <v>1025</v>
      </c>
      <c r="H34" t="s">
        <v>1026</v>
      </c>
      <c r="I34" t="s">
        <v>317</v>
      </c>
      <c r="J34" t="s">
        <v>1301</v>
      </c>
      <c r="K34" t="s">
        <v>867</v>
      </c>
      <c r="L34" t="s">
        <v>868</v>
      </c>
      <c r="N34" t="s">
        <v>861</v>
      </c>
      <c r="O34">
        <v>0</v>
      </c>
      <c r="P34" t="s">
        <v>869</v>
      </c>
      <c r="Q34" t="s">
        <v>19</v>
      </c>
      <c r="R34" t="s">
        <v>870</v>
      </c>
      <c r="S34" t="s">
        <v>979</v>
      </c>
      <c r="T34" t="s">
        <v>1285</v>
      </c>
      <c r="U34" t="s">
        <v>1285</v>
      </c>
      <c r="V34" t="s">
        <v>998</v>
      </c>
      <c r="W34" t="s">
        <v>1286</v>
      </c>
      <c r="Y34" t="s">
        <v>874</v>
      </c>
      <c r="Z34" t="s">
        <v>861</v>
      </c>
      <c r="AA34" t="s">
        <v>958</v>
      </c>
      <c r="AB34" t="s">
        <v>1302</v>
      </c>
      <c r="AF34" t="s">
        <v>1288</v>
      </c>
      <c r="AG34" t="s">
        <v>1303</v>
      </c>
      <c r="AH34" t="s">
        <v>1247</v>
      </c>
      <c r="AI34" t="s">
        <v>1304</v>
      </c>
      <c r="AJ34" t="s">
        <v>861</v>
      </c>
      <c r="AK34" t="s">
        <v>880</v>
      </c>
      <c r="AL34" t="s">
        <v>913</v>
      </c>
      <c r="AM34" t="s">
        <v>986</v>
      </c>
      <c r="AN34" t="s">
        <v>986</v>
      </c>
      <c r="AO34" t="s">
        <v>1305</v>
      </c>
      <c r="AP34" t="s">
        <v>1304</v>
      </c>
      <c r="AQ34" t="s">
        <v>1292</v>
      </c>
      <c r="AR34" t="s">
        <v>1306</v>
      </c>
      <c r="AS34" t="s">
        <v>1292</v>
      </c>
      <c r="AT34" t="s">
        <v>1292</v>
      </c>
      <c r="AU34" t="s">
        <v>886</v>
      </c>
      <c r="AW34" t="s">
        <v>1292</v>
      </c>
      <c r="AX34" t="s">
        <v>1292</v>
      </c>
      <c r="AZ34" t="s">
        <v>1144</v>
      </c>
      <c r="BA34" t="s">
        <v>1240</v>
      </c>
      <c r="BB34" t="s">
        <v>1307</v>
      </c>
      <c r="BK34" t="s">
        <v>891</v>
      </c>
      <c r="BL34">
        <v>819</v>
      </c>
      <c r="BM34">
        <v>66.48</v>
      </c>
      <c r="BN34">
        <v>7806.3</v>
      </c>
      <c r="BO34">
        <v>24496.78</v>
      </c>
      <c r="BP34">
        <v>24496.78</v>
      </c>
      <c r="BQ34">
        <v>24496.78</v>
      </c>
      <c r="BR34">
        <v>0</v>
      </c>
      <c r="BS34" t="s">
        <v>892</v>
      </c>
      <c r="BT34">
        <v>1500</v>
      </c>
      <c r="BV34" t="s">
        <v>1295</v>
      </c>
      <c r="BW34" t="s">
        <v>1154</v>
      </c>
      <c r="BX34" t="s">
        <v>895</v>
      </c>
      <c r="BY34" t="s">
        <v>1308</v>
      </c>
      <c r="CD34" t="s">
        <v>1309</v>
      </c>
      <c r="CG34" t="s">
        <v>1301</v>
      </c>
      <c r="CH34" t="s">
        <v>898</v>
      </c>
      <c r="CI34" t="s">
        <v>1310</v>
      </c>
      <c r="CJ34" t="s">
        <v>1310</v>
      </c>
      <c r="CM34" t="s">
        <v>1044</v>
      </c>
      <c r="CN34" t="s">
        <v>1045</v>
      </c>
      <c r="CO34" t="s">
        <v>1311</v>
      </c>
      <c r="CP34" t="s">
        <v>1300</v>
      </c>
      <c r="CT34" t="s">
        <v>901</v>
      </c>
    </row>
    <row r="35" spans="1:98" x14ac:dyDescent="0.15">
      <c r="A35" t="s">
        <v>861</v>
      </c>
      <c r="B35" t="s">
        <v>862</v>
      </c>
      <c r="C35" t="s">
        <v>445</v>
      </c>
      <c r="D35" t="s">
        <v>445</v>
      </c>
      <c r="E35" t="s">
        <v>445</v>
      </c>
      <c r="F35" t="s">
        <v>863</v>
      </c>
      <c r="G35" t="s">
        <v>1025</v>
      </c>
      <c r="H35" t="s">
        <v>1026</v>
      </c>
      <c r="I35" t="s">
        <v>444</v>
      </c>
      <c r="J35" t="s">
        <v>1312</v>
      </c>
      <c r="K35" t="s">
        <v>867</v>
      </c>
      <c r="L35" t="s">
        <v>868</v>
      </c>
      <c r="N35" t="s">
        <v>861</v>
      </c>
      <c r="O35">
        <v>0</v>
      </c>
      <c r="P35" t="s">
        <v>869</v>
      </c>
      <c r="Q35" t="s">
        <v>19</v>
      </c>
      <c r="R35" t="s">
        <v>870</v>
      </c>
      <c r="S35" t="s">
        <v>979</v>
      </c>
      <c r="T35" t="s">
        <v>1285</v>
      </c>
      <c r="U35" t="s">
        <v>1285</v>
      </c>
      <c r="V35" t="s">
        <v>998</v>
      </c>
      <c r="W35" t="s">
        <v>1286</v>
      </c>
      <c r="Y35" t="s">
        <v>874</v>
      </c>
      <c r="Z35" t="s">
        <v>861</v>
      </c>
      <c r="AA35" t="s">
        <v>875</v>
      </c>
      <c r="AF35" t="s">
        <v>1288</v>
      </c>
      <c r="AG35" t="s">
        <v>1313</v>
      </c>
      <c r="AH35" t="s">
        <v>1247</v>
      </c>
      <c r="AI35" t="s">
        <v>1290</v>
      </c>
      <c r="AJ35" t="s">
        <v>861</v>
      </c>
      <c r="AK35" t="s">
        <v>880</v>
      </c>
      <c r="AL35" t="s">
        <v>913</v>
      </c>
      <c r="AM35" t="s">
        <v>986</v>
      </c>
      <c r="AN35" t="s">
        <v>986</v>
      </c>
      <c r="AO35" t="s">
        <v>1314</v>
      </c>
      <c r="AP35" t="s">
        <v>1290</v>
      </c>
      <c r="AQ35" t="s">
        <v>1292</v>
      </c>
      <c r="AR35" t="s">
        <v>1315</v>
      </c>
      <c r="AS35" t="s">
        <v>1292</v>
      </c>
      <c r="AT35" t="s">
        <v>1292</v>
      </c>
      <c r="AU35" t="s">
        <v>886</v>
      </c>
      <c r="AW35" t="s">
        <v>1292</v>
      </c>
      <c r="AX35" t="s">
        <v>1292</v>
      </c>
      <c r="AZ35" t="s">
        <v>1144</v>
      </c>
      <c r="BA35" t="s">
        <v>1240</v>
      </c>
      <c r="BB35" t="s">
        <v>1316</v>
      </c>
      <c r="BK35" t="s">
        <v>891</v>
      </c>
      <c r="BL35">
        <v>1535</v>
      </c>
      <c r="BM35">
        <v>64.66</v>
      </c>
      <c r="BN35">
        <v>14462</v>
      </c>
      <c r="BO35">
        <v>32651.93</v>
      </c>
      <c r="BP35">
        <v>32651.93</v>
      </c>
      <c r="BQ35">
        <v>32651.93</v>
      </c>
      <c r="BR35">
        <v>0</v>
      </c>
      <c r="BS35" t="s">
        <v>892</v>
      </c>
      <c r="BT35">
        <v>1500</v>
      </c>
      <c r="BV35" t="s">
        <v>1295</v>
      </c>
      <c r="BW35" t="s">
        <v>1154</v>
      </c>
      <c r="BX35" t="s">
        <v>895</v>
      </c>
      <c r="BY35" t="s">
        <v>1308</v>
      </c>
      <c r="CD35" t="s">
        <v>1309</v>
      </c>
      <c r="CG35" t="s">
        <v>1312</v>
      </c>
      <c r="CH35" t="s">
        <v>898</v>
      </c>
      <c r="CI35" t="s">
        <v>1317</v>
      </c>
      <c r="CJ35" t="s">
        <v>1317</v>
      </c>
      <c r="CM35" t="s">
        <v>1044</v>
      </c>
      <c r="CN35" t="s">
        <v>1045</v>
      </c>
      <c r="CO35" t="s">
        <v>1318</v>
      </c>
      <c r="CP35" t="s">
        <v>1300</v>
      </c>
      <c r="CT35" t="s">
        <v>901</v>
      </c>
    </row>
    <row r="36" spans="1:98" x14ac:dyDescent="0.15">
      <c r="A36" t="s">
        <v>861</v>
      </c>
      <c r="B36" t="s">
        <v>862</v>
      </c>
      <c r="C36" t="s">
        <v>391</v>
      </c>
      <c r="D36" t="s">
        <v>391</v>
      </c>
      <c r="E36" t="s">
        <v>391</v>
      </c>
      <c r="F36" t="s">
        <v>863</v>
      </c>
      <c r="G36" t="s">
        <v>1025</v>
      </c>
      <c r="H36" t="s">
        <v>1026</v>
      </c>
      <c r="I36" t="s">
        <v>390</v>
      </c>
      <c r="J36" t="s">
        <v>1319</v>
      </c>
      <c r="K36" t="s">
        <v>977</v>
      </c>
      <c r="L36" t="s">
        <v>868</v>
      </c>
      <c r="N36" t="s">
        <v>861</v>
      </c>
      <c r="O36">
        <v>0</v>
      </c>
      <c r="P36" t="s">
        <v>960</v>
      </c>
      <c r="Q36" t="s">
        <v>36</v>
      </c>
      <c r="R36" t="s">
        <v>1123</v>
      </c>
      <c r="S36" t="s">
        <v>979</v>
      </c>
      <c r="T36" t="s">
        <v>1212</v>
      </c>
      <c r="U36" t="s">
        <v>1212</v>
      </c>
      <c r="V36" t="s">
        <v>1048</v>
      </c>
      <c r="W36" t="s">
        <v>1320</v>
      </c>
      <c r="Y36" t="s">
        <v>874</v>
      </c>
      <c r="Z36" t="s">
        <v>861</v>
      </c>
      <c r="AA36" t="s">
        <v>958</v>
      </c>
      <c r="AB36" t="s">
        <v>1321</v>
      </c>
      <c r="AF36" t="s">
        <v>1322</v>
      </c>
      <c r="AG36" t="s">
        <v>1292</v>
      </c>
      <c r="AH36" t="s">
        <v>1129</v>
      </c>
      <c r="AI36" t="s">
        <v>1323</v>
      </c>
      <c r="AJ36" t="s">
        <v>861</v>
      </c>
      <c r="AK36" t="s">
        <v>880</v>
      </c>
      <c r="AL36" t="s">
        <v>913</v>
      </c>
      <c r="AM36" t="s">
        <v>986</v>
      </c>
      <c r="AN36" t="s">
        <v>986</v>
      </c>
      <c r="AO36" t="s">
        <v>1324</v>
      </c>
      <c r="AP36" t="s">
        <v>1323</v>
      </c>
      <c r="AQ36" t="s">
        <v>1292</v>
      </c>
      <c r="AR36" t="s">
        <v>936</v>
      </c>
      <c r="AS36" t="s">
        <v>1292</v>
      </c>
      <c r="AT36" t="s">
        <v>1292</v>
      </c>
      <c r="AU36" t="s">
        <v>886</v>
      </c>
      <c r="AW36" t="s">
        <v>1292</v>
      </c>
      <c r="AX36" t="s">
        <v>1292</v>
      </c>
      <c r="AZ36" t="s">
        <v>1264</v>
      </c>
      <c r="BA36" t="s">
        <v>1240</v>
      </c>
      <c r="BB36" t="s">
        <v>1128</v>
      </c>
      <c r="BK36" t="s">
        <v>1134</v>
      </c>
      <c r="BL36">
        <v>712</v>
      </c>
      <c r="BM36">
        <v>69.17</v>
      </c>
      <c r="BN36">
        <v>10046.4</v>
      </c>
      <c r="BO36">
        <v>26480.18</v>
      </c>
      <c r="BP36">
        <v>26480.18</v>
      </c>
      <c r="BQ36">
        <v>28277.599999999999</v>
      </c>
      <c r="BR36">
        <v>1797.42</v>
      </c>
      <c r="BS36" t="s">
        <v>892</v>
      </c>
      <c r="BT36">
        <v>1744</v>
      </c>
      <c r="BV36" t="s">
        <v>1325</v>
      </c>
      <c r="BW36" t="s">
        <v>1326</v>
      </c>
      <c r="BX36" t="s">
        <v>895</v>
      </c>
      <c r="BY36" t="s">
        <v>1308</v>
      </c>
      <c r="CD36" t="s">
        <v>1327</v>
      </c>
      <c r="CG36" t="s">
        <v>1328</v>
      </c>
      <c r="CH36" t="s">
        <v>994</v>
      </c>
      <c r="CI36" t="s">
        <v>1328</v>
      </c>
      <c r="CJ36" t="s">
        <v>1328</v>
      </c>
      <c r="CM36" t="s">
        <v>1044</v>
      </c>
      <c r="CN36" t="s">
        <v>1045</v>
      </c>
      <c r="CO36" t="s">
        <v>1329</v>
      </c>
      <c r="CP36" t="s">
        <v>1048</v>
      </c>
      <c r="CT36" t="s">
        <v>901</v>
      </c>
    </row>
    <row r="37" spans="1:98" x14ac:dyDescent="0.15">
      <c r="A37" t="s">
        <v>861</v>
      </c>
      <c r="B37" t="s">
        <v>862</v>
      </c>
      <c r="C37" t="s">
        <v>161</v>
      </c>
      <c r="D37" t="s">
        <v>161</v>
      </c>
      <c r="E37" t="s">
        <v>161</v>
      </c>
      <c r="F37" t="s">
        <v>863</v>
      </c>
      <c r="G37" t="s">
        <v>864</v>
      </c>
      <c r="H37" t="s">
        <v>1026</v>
      </c>
      <c r="I37" t="s">
        <v>158</v>
      </c>
      <c r="J37" t="s">
        <v>1330</v>
      </c>
      <c r="K37" t="s">
        <v>867</v>
      </c>
      <c r="L37" t="s">
        <v>868</v>
      </c>
      <c r="N37" t="s">
        <v>861</v>
      </c>
      <c r="O37">
        <v>0</v>
      </c>
      <c r="P37" t="s">
        <v>1159</v>
      </c>
      <c r="Q37" t="s">
        <v>19</v>
      </c>
      <c r="R37" t="s">
        <v>919</v>
      </c>
      <c r="S37" t="s">
        <v>979</v>
      </c>
      <c r="T37" t="s">
        <v>1331</v>
      </c>
      <c r="U37" t="s">
        <v>1331</v>
      </c>
      <c r="V37" t="s">
        <v>1029</v>
      </c>
      <c r="W37" t="s">
        <v>1332</v>
      </c>
      <c r="Y37" t="s">
        <v>874</v>
      </c>
      <c r="Z37" t="s">
        <v>861</v>
      </c>
      <c r="AA37" t="s">
        <v>958</v>
      </c>
      <c r="AB37" t="s">
        <v>1333</v>
      </c>
      <c r="AD37" t="s">
        <v>923</v>
      </c>
      <c r="AE37" t="s">
        <v>1334</v>
      </c>
      <c r="AF37" t="s">
        <v>1335</v>
      </c>
      <c r="AG37" t="s">
        <v>1336</v>
      </c>
      <c r="AH37" t="s">
        <v>1247</v>
      </c>
      <c r="AI37" t="s">
        <v>1337</v>
      </c>
      <c r="AJ37" t="s">
        <v>861</v>
      </c>
      <c r="AK37" t="s">
        <v>880</v>
      </c>
      <c r="AL37" t="s">
        <v>913</v>
      </c>
      <c r="AM37" t="s">
        <v>986</v>
      </c>
      <c r="AN37" t="s">
        <v>986</v>
      </c>
      <c r="AO37" t="s">
        <v>1338</v>
      </c>
      <c r="AP37" t="s">
        <v>1337</v>
      </c>
      <c r="AQ37" t="s">
        <v>1028</v>
      </c>
      <c r="AR37" t="s">
        <v>1339</v>
      </c>
      <c r="AS37" t="s">
        <v>1028</v>
      </c>
      <c r="AT37" t="s">
        <v>1340</v>
      </c>
      <c r="AU37" t="s">
        <v>886</v>
      </c>
      <c r="AW37" t="s">
        <v>1340</v>
      </c>
      <c r="AX37" t="s">
        <v>1340</v>
      </c>
      <c r="AZ37" t="s">
        <v>1267</v>
      </c>
      <c r="BA37" t="s">
        <v>1260</v>
      </c>
      <c r="BB37" t="s">
        <v>1341</v>
      </c>
      <c r="BK37" t="s">
        <v>891</v>
      </c>
      <c r="BL37">
        <v>520</v>
      </c>
      <c r="BM37">
        <v>65.709999999999994</v>
      </c>
      <c r="BN37">
        <v>9512.5</v>
      </c>
      <c r="BO37">
        <v>25031.5</v>
      </c>
      <c r="BP37">
        <v>25031.5</v>
      </c>
      <c r="BQ37">
        <v>25031.5</v>
      </c>
      <c r="BR37">
        <v>0</v>
      </c>
      <c r="BS37" t="s">
        <v>892</v>
      </c>
      <c r="BT37">
        <v>1529</v>
      </c>
      <c r="BV37" t="s">
        <v>1174</v>
      </c>
      <c r="BW37" t="s">
        <v>1175</v>
      </c>
      <c r="BX37" t="s">
        <v>895</v>
      </c>
      <c r="BY37" t="s">
        <v>1342</v>
      </c>
      <c r="CD37" t="s">
        <v>1343</v>
      </c>
      <c r="CG37" t="s">
        <v>1330</v>
      </c>
      <c r="CH37" t="s">
        <v>898</v>
      </c>
      <c r="CI37" t="s">
        <v>1344</v>
      </c>
      <c r="CJ37" t="s">
        <v>1344</v>
      </c>
      <c r="CM37" t="s">
        <v>1044</v>
      </c>
      <c r="CN37" t="s">
        <v>1045</v>
      </c>
      <c r="CO37" t="s">
        <v>1345</v>
      </c>
      <c r="CP37" t="s">
        <v>1029</v>
      </c>
      <c r="CT37" t="s">
        <v>901</v>
      </c>
    </row>
    <row r="38" spans="1:98" x14ac:dyDescent="0.15">
      <c r="A38" t="s">
        <v>861</v>
      </c>
      <c r="B38" t="s">
        <v>862</v>
      </c>
      <c r="C38" t="s">
        <v>192</v>
      </c>
      <c r="D38" t="s">
        <v>192</v>
      </c>
      <c r="E38" t="s">
        <v>192</v>
      </c>
      <c r="F38" t="s">
        <v>863</v>
      </c>
      <c r="G38" t="s">
        <v>864</v>
      </c>
      <c r="H38" t="s">
        <v>1026</v>
      </c>
      <c r="I38" t="s">
        <v>191</v>
      </c>
      <c r="J38" t="s">
        <v>1346</v>
      </c>
      <c r="K38" t="s">
        <v>867</v>
      </c>
      <c r="L38" t="s">
        <v>868</v>
      </c>
      <c r="N38" t="s">
        <v>861</v>
      </c>
      <c r="O38">
        <v>0</v>
      </c>
      <c r="P38" t="s">
        <v>1159</v>
      </c>
      <c r="Q38" t="s">
        <v>19</v>
      </c>
      <c r="R38" t="s">
        <v>919</v>
      </c>
      <c r="S38" t="s">
        <v>979</v>
      </c>
      <c r="T38" t="s">
        <v>1331</v>
      </c>
      <c r="U38" t="s">
        <v>1331</v>
      </c>
      <c r="V38" t="s">
        <v>1029</v>
      </c>
      <c r="W38" t="s">
        <v>1332</v>
      </c>
      <c r="Y38" t="s">
        <v>874</v>
      </c>
      <c r="Z38" t="s">
        <v>861</v>
      </c>
      <c r="AA38" t="s">
        <v>958</v>
      </c>
      <c r="AB38" t="s">
        <v>1347</v>
      </c>
      <c r="AD38" t="s">
        <v>923</v>
      </c>
      <c r="AE38" t="s">
        <v>1348</v>
      </c>
      <c r="AF38" t="s">
        <v>1335</v>
      </c>
      <c r="AG38" t="s">
        <v>1349</v>
      </c>
      <c r="AH38" t="s">
        <v>1247</v>
      </c>
      <c r="AI38" t="s">
        <v>1337</v>
      </c>
      <c r="AJ38" t="s">
        <v>861</v>
      </c>
      <c r="AK38" t="s">
        <v>880</v>
      </c>
      <c r="AL38" t="s">
        <v>913</v>
      </c>
      <c r="AM38" t="s">
        <v>986</v>
      </c>
      <c r="AN38" t="s">
        <v>986</v>
      </c>
      <c r="AO38" t="s">
        <v>1350</v>
      </c>
      <c r="AP38" t="s">
        <v>1337</v>
      </c>
      <c r="AQ38" t="s">
        <v>1028</v>
      </c>
      <c r="AR38" t="s">
        <v>1351</v>
      </c>
      <c r="AS38" t="s">
        <v>1028</v>
      </c>
      <c r="AT38" t="s">
        <v>1340</v>
      </c>
      <c r="AU38" t="s">
        <v>886</v>
      </c>
      <c r="AW38" t="s">
        <v>1340</v>
      </c>
      <c r="AX38" t="s">
        <v>1260</v>
      </c>
      <c r="AZ38" t="s">
        <v>1267</v>
      </c>
      <c r="BA38" t="s">
        <v>1035</v>
      </c>
      <c r="BB38" t="s">
        <v>1352</v>
      </c>
      <c r="BK38" t="s">
        <v>891</v>
      </c>
      <c r="BL38">
        <v>390</v>
      </c>
      <c r="BM38">
        <v>65.84</v>
      </c>
      <c r="BN38">
        <v>7800</v>
      </c>
      <c r="BO38">
        <v>23407.200000000001</v>
      </c>
      <c r="BP38">
        <v>23407.200000000001</v>
      </c>
      <c r="BQ38">
        <v>23407.200000000001</v>
      </c>
      <c r="BR38">
        <v>0</v>
      </c>
      <c r="BS38" t="s">
        <v>892</v>
      </c>
      <c r="BT38">
        <v>1529</v>
      </c>
      <c r="BV38" t="s">
        <v>1174</v>
      </c>
      <c r="BW38" t="s">
        <v>1175</v>
      </c>
      <c r="BX38" t="s">
        <v>895</v>
      </c>
      <c r="BY38" t="s">
        <v>1342</v>
      </c>
      <c r="CD38" t="s">
        <v>1343</v>
      </c>
      <c r="CG38" t="s">
        <v>1346</v>
      </c>
      <c r="CH38" t="s">
        <v>898</v>
      </c>
      <c r="CI38" t="s">
        <v>1353</v>
      </c>
      <c r="CJ38" t="s">
        <v>1353</v>
      </c>
      <c r="CM38" t="s">
        <v>1044</v>
      </c>
      <c r="CN38" t="s">
        <v>1045</v>
      </c>
      <c r="CO38" t="s">
        <v>1354</v>
      </c>
      <c r="CP38" t="s">
        <v>1029</v>
      </c>
      <c r="CT38" t="s">
        <v>901</v>
      </c>
    </row>
    <row r="39" spans="1:98" x14ac:dyDescent="0.15">
      <c r="A39" t="s">
        <v>861</v>
      </c>
      <c r="B39" t="s">
        <v>862</v>
      </c>
      <c r="C39" t="s">
        <v>96</v>
      </c>
      <c r="D39" t="s">
        <v>96</v>
      </c>
      <c r="E39" t="s">
        <v>96</v>
      </c>
      <c r="F39" t="s">
        <v>863</v>
      </c>
      <c r="G39" t="s">
        <v>864</v>
      </c>
      <c r="H39" t="s">
        <v>937</v>
      </c>
      <c r="I39" t="s">
        <v>95</v>
      </c>
      <c r="J39" t="s">
        <v>1355</v>
      </c>
      <c r="K39" t="s">
        <v>867</v>
      </c>
      <c r="L39" t="s">
        <v>868</v>
      </c>
      <c r="N39" t="s">
        <v>1259</v>
      </c>
      <c r="O39">
        <v>0</v>
      </c>
      <c r="P39" t="s">
        <v>1159</v>
      </c>
      <c r="Q39" t="s">
        <v>19</v>
      </c>
      <c r="R39" t="s">
        <v>919</v>
      </c>
      <c r="S39" t="s">
        <v>979</v>
      </c>
      <c r="T39" t="s">
        <v>1265</v>
      </c>
      <c r="U39" t="s">
        <v>1265</v>
      </c>
      <c r="V39" t="s">
        <v>1356</v>
      </c>
      <c r="W39" t="s">
        <v>1357</v>
      </c>
      <c r="Y39" t="s">
        <v>874</v>
      </c>
      <c r="Z39" t="s">
        <v>861</v>
      </c>
      <c r="AA39" t="s">
        <v>958</v>
      </c>
      <c r="AB39" t="s">
        <v>1358</v>
      </c>
      <c r="AD39" t="s">
        <v>923</v>
      </c>
      <c r="AE39" t="s">
        <v>1359</v>
      </c>
      <c r="AF39" t="s">
        <v>1360</v>
      </c>
      <c r="AG39" t="s">
        <v>1361</v>
      </c>
      <c r="AH39" t="s">
        <v>1362</v>
      </c>
      <c r="AI39" t="s">
        <v>1363</v>
      </c>
      <c r="AJ39" t="s">
        <v>861</v>
      </c>
      <c r="AK39" t="s">
        <v>880</v>
      </c>
      <c r="AL39" t="s">
        <v>913</v>
      </c>
      <c r="AM39" t="s">
        <v>986</v>
      </c>
      <c r="AP39" t="s">
        <v>883</v>
      </c>
      <c r="AQ39" t="s">
        <v>890</v>
      </c>
      <c r="AS39" t="s">
        <v>890</v>
      </c>
      <c r="AT39" t="s">
        <v>890</v>
      </c>
      <c r="AU39" t="s">
        <v>886</v>
      </c>
      <c r="AW39" t="s">
        <v>890</v>
      </c>
      <c r="AX39" t="s">
        <v>890</v>
      </c>
      <c r="AZ39" t="s">
        <v>965</v>
      </c>
      <c r="BA39" t="s">
        <v>988</v>
      </c>
      <c r="BK39" t="s">
        <v>891</v>
      </c>
      <c r="BL39">
        <v>781</v>
      </c>
      <c r="BM39">
        <v>68.180000000000007</v>
      </c>
      <c r="BN39">
        <v>12010.5</v>
      </c>
      <c r="BO39">
        <v>27754.86</v>
      </c>
      <c r="BP39">
        <v>27754.86</v>
      </c>
      <c r="BQ39">
        <v>27754.86</v>
      </c>
      <c r="BR39">
        <v>0</v>
      </c>
      <c r="BS39" t="s">
        <v>892</v>
      </c>
      <c r="BT39">
        <v>1639</v>
      </c>
      <c r="BV39" t="s">
        <v>1364</v>
      </c>
      <c r="BW39" t="s">
        <v>1365</v>
      </c>
      <c r="BX39" t="s">
        <v>895</v>
      </c>
      <c r="BY39" t="s">
        <v>1366</v>
      </c>
      <c r="CD39" t="s">
        <v>1367</v>
      </c>
      <c r="CG39" t="s">
        <v>1355</v>
      </c>
      <c r="CH39" t="s">
        <v>898</v>
      </c>
      <c r="CI39" t="s">
        <v>1368</v>
      </c>
      <c r="CJ39" t="s">
        <v>1368</v>
      </c>
      <c r="CP39" t="s">
        <v>936</v>
      </c>
      <c r="CT39" t="s">
        <v>901</v>
      </c>
    </row>
    <row r="40" spans="1:98" x14ac:dyDescent="0.15">
      <c r="A40" t="s">
        <v>861</v>
      </c>
      <c r="B40" t="s">
        <v>862</v>
      </c>
      <c r="C40" t="s">
        <v>531</v>
      </c>
      <c r="D40" t="s">
        <v>531</v>
      </c>
      <c r="E40" t="s">
        <v>531</v>
      </c>
      <c r="F40" t="s">
        <v>863</v>
      </c>
      <c r="G40" t="s">
        <v>864</v>
      </c>
      <c r="H40" t="s">
        <v>916</v>
      </c>
      <c r="I40" t="s">
        <v>529</v>
      </c>
      <c r="J40" t="s">
        <v>1369</v>
      </c>
      <c r="K40" t="s">
        <v>867</v>
      </c>
      <c r="L40" t="s">
        <v>868</v>
      </c>
      <c r="N40" t="s">
        <v>861</v>
      </c>
      <c r="O40">
        <v>0</v>
      </c>
      <c r="P40" t="s">
        <v>1159</v>
      </c>
      <c r="Q40" t="s">
        <v>15</v>
      </c>
      <c r="R40" t="s">
        <v>919</v>
      </c>
      <c r="S40" t="s">
        <v>954</v>
      </c>
      <c r="T40" t="s">
        <v>1370</v>
      </c>
      <c r="U40" t="s">
        <v>1370</v>
      </c>
      <c r="V40" t="s">
        <v>1371</v>
      </c>
      <c r="W40" t="s">
        <v>1276</v>
      </c>
      <c r="Y40" t="s">
        <v>874</v>
      </c>
      <c r="Z40" t="s">
        <v>861</v>
      </c>
      <c r="AA40" t="s">
        <v>922</v>
      </c>
      <c r="AD40" t="s">
        <v>923</v>
      </c>
      <c r="AE40" t="s">
        <v>1372</v>
      </c>
      <c r="AJ40" t="s">
        <v>861</v>
      </c>
      <c r="AK40" t="s">
        <v>880</v>
      </c>
      <c r="AP40" t="s">
        <v>1266</v>
      </c>
      <c r="AZ40" t="s">
        <v>1373</v>
      </c>
      <c r="BK40" t="s">
        <v>891</v>
      </c>
      <c r="BL40">
        <v>621</v>
      </c>
      <c r="BM40">
        <v>69.650000000000006</v>
      </c>
      <c r="BN40">
        <v>6415.4</v>
      </c>
      <c r="BO40">
        <v>19195.86</v>
      </c>
      <c r="BP40">
        <v>19195.86</v>
      </c>
      <c r="BQ40">
        <v>19195.86</v>
      </c>
      <c r="BR40">
        <v>0</v>
      </c>
      <c r="BS40" t="s">
        <v>892</v>
      </c>
      <c r="BT40">
        <v>2639</v>
      </c>
      <c r="BV40" t="s">
        <v>1174</v>
      </c>
      <c r="BW40" t="s">
        <v>1374</v>
      </c>
      <c r="BX40" t="s">
        <v>895</v>
      </c>
      <c r="BY40" t="s">
        <v>1375</v>
      </c>
      <c r="CD40" t="s">
        <v>1376</v>
      </c>
      <c r="CG40" t="s">
        <v>1369</v>
      </c>
      <c r="CH40" t="s">
        <v>898</v>
      </c>
      <c r="CI40" t="s">
        <v>1377</v>
      </c>
      <c r="CJ40" t="s">
        <v>1377</v>
      </c>
      <c r="CP40" t="s">
        <v>1378</v>
      </c>
      <c r="CT40" t="s">
        <v>901</v>
      </c>
    </row>
    <row r="41" spans="1:98" x14ac:dyDescent="0.15">
      <c r="A41" t="s">
        <v>861</v>
      </c>
      <c r="B41" t="s">
        <v>862</v>
      </c>
      <c r="C41" t="s">
        <v>507</v>
      </c>
      <c r="D41" t="s">
        <v>507</v>
      </c>
      <c r="E41" t="s">
        <v>507</v>
      </c>
      <c r="F41" t="s">
        <v>863</v>
      </c>
      <c r="G41" t="s">
        <v>864</v>
      </c>
      <c r="H41" t="s">
        <v>916</v>
      </c>
      <c r="I41" t="s">
        <v>505</v>
      </c>
      <c r="J41" t="s">
        <v>1379</v>
      </c>
      <c r="K41" t="s">
        <v>867</v>
      </c>
      <c r="L41" t="s">
        <v>868</v>
      </c>
      <c r="N41" t="s">
        <v>861</v>
      </c>
      <c r="O41">
        <v>0</v>
      </c>
      <c r="P41" t="s">
        <v>1159</v>
      </c>
      <c r="Q41" t="s">
        <v>15</v>
      </c>
      <c r="R41" t="s">
        <v>919</v>
      </c>
      <c r="S41" t="s">
        <v>954</v>
      </c>
      <c r="T41" t="s">
        <v>1380</v>
      </c>
      <c r="U41" t="s">
        <v>1380</v>
      </c>
      <c r="V41" t="s">
        <v>1371</v>
      </c>
      <c r="W41" t="s">
        <v>1276</v>
      </c>
      <c r="Y41" t="s">
        <v>874</v>
      </c>
      <c r="Z41" t="s">
        <v>861</v>
      </c>
      <c r="AA41" t="s">
        <v>922</v>
      </c>
      <c r="AD41" t="s">
        <v>923</v>
      </c>
      <c r="AE41" t="s">
        <v>1381</v>
      </c>
      <c r="AJ41" t="s">
        <v>861</v>
      </c>
      <c r="AK41" t="s">
        <v>880</v>
      </c>
      <c r="AP41" t="s">
        <v>1382</v>
      </c>
      <c r="AZ41" t="s">
        <v>1051</v>
      </c>
      <c r="BK41" t="s">
        <v>891</v>
      </c>
      <c r="BL41">
        <v>780</v>
      </c>
      <c r="BM41">
        <v>67.95</v>
      </c>
      <c r="BN41">
        <v>12184.7</v>
      </c>
      <c r="BO41">
        <v>23429.439999999999</v>
      </c>
      <c r="BP41">
        <v>23429.439999999999</v>
      </c>
      <c r="BQ41">
        <v>23429.439999999999</v>
      </c>
      <c r="BR41">
        <v>0</v>
      </c>
      <c r="BS41" t="s">
        <v>892</v>
      </c>
      <c r="BT41">
        <v>2639</v>
      </c>
      <c r="BV41" t="s">
        <v>1174</v>
      </c>
      <c r="BW41" t="s">
        <v>1374</v>
      </c>
      <c r="BX41" t="s">
        <v>895</v>
      </c>
      <c r="BY41" t="s">
        <v>1383</v>
      </c>
      <c r="CD41" t="s">
        <v>1384</v>
      </c>
      <c r="CG41" t="s">
        <v>1379</v>
      </c>
      <c r="CH41" t="s">
        <v>898</v>
      </c>
      <c r="CI41" t="s">
        <v>1385</v>
      </c>
      <c r="CJ41" t="s">
        <v>1385</v>
      </c>
      <c r="CP41" t="s">
        <v>1378</v>
      </c>
      <c r="CT41" t="s">
        <v>901</v>
      </c>
    </row>
    <row r="42" spans="1:98" x14ac:dyDescent="0.15">
      <c r="A42" t="s">
        <v>861</v>
      </c>
      <c r="B42" t="s">
        <v>862</v>
      </c>
      <c r="C42" t="s">
        <v>356</v>
      </c>
      <c r="D42" t="s">
        <v>356</v>
      </c>
      <c r="E42" t="s">
        <v>356</v>
      </c>
      <c r="F42" t="s">
        <v>863</v>
      </c>
      <c r="G42" t="s">
        <v>864</v>
      </c>
      <c r="H42" t="s">
        <v>1026</v>
      </c>
      <c r="I42" t="s">
        <v>355</v>
      </c>
      <c r="J42" t="s">
        <v>1386</v>
      </c>
      <c r="K42" t="s">
        <v>867</v>
      </c>
      <c r="L42" t="s">
        <v>868</v>
      </c>
      <c r="N42" t="s">
        <v>861</v>
      </c>
      <c r="O42">
        <v>0</v>
      </c>
      <c r="P42" t="s">
        <v>1159</v>
      </c>
      <c r="Q42" t="s">
        <v>19</v>
      </c>
      <c r="R42" t="s">
        <v>919</v>
      </c>
      <c r="S42" t="s">
        <v>979</v>
      </c>
      <c r="T42" t="s">
        <v>1265</v>
      </c>
      <c r="U42" t="s">
        <v>1265</v>
      </c>
      <c r="V42" t="s">
        <v>1356</v>
      </c>
      <c r="W42" t="s">
        <v>1357</v>
      </c>
      <c r="Y42" t="s">
        <v>874</v>
      </c>
      <c r="Z42" t="s">
        <v>861</v>
      </c>
      <c r="AA42" t="s">
        <v>958</v>
      </c>
      <c r="AB42" t="s">
        <v>1358</v>
      </c>
      <c r="AD42" t="s">
        <v>923</v>
      </c>
      <c r="AE42" t="s">
        <v>1387</v>
      </c>
      <c r="AF42" t="s">
        <v>1360</v>
      </c>
      <c r="AG42" t="s">
        <v>1388</v>
      </c>
      <c r="AH42" t="s">
        <v>1247</v>
      </c>
      <c r="AI42" t="s">
        <v>957</v>
      </c>
      <c r="AJ42" t="s">
        <v>861</v>
      </c>
      <c r="AK42" t="s">
        <v>880</v>
      </c>
      <c r="AL42" t="s">
        <v>913</v>
      </c>
      <c r="AM42" t="s">
        <v>986</v>
      </c>
      <c r="AP42" t="s">
        <v>957</v>
      </c>
      <c r="AQ42" t="s">
        <v>890</v>
      </c>
      <c r="AR42" t="s">
        <v>1389</v>
      </c>
      <c r="AS42" t="s">
        <v>890</v>
      </c>
      <c r="AT42" t="s">
        <v>890</v>
      </c>
      <c r="AU42" t="s">
        <v>886</v>
      </c>
      <c r="AW42" t="s">
        <v>890</v>
      </c>
      <c r="AX42" t="s">
        <v>890</v>
      </c>
      <c r="AZ42" t="s">
        <v>965</v>
      </c>
      <c r="BA42" t="s">
        <v>988</v>
      </c>
      <c r="BB42" t="s">
        <v>1390</v>
      </c>
      <c r="BK42" t="s">
        <v>891</v>
      </c>
      <c r="BL42">
        <v>499</v>
      </c>
      <c r="BM42">
        <v>68.87</v>
      </c>
      <c r="BN42">
        <v>10405</v>
      </c>
      <c r="BO42">
        <v>23397.52</v>
      </c>
      <c r="BP42">
        <v>23397.52</v>
      </c>
      <c r="BQ42">
        <v>23397.52</v>
      </c>
      <c r="BR42">
        <v>0</v>
      </c>
      <c r="BS42" t="s">
        <v>892</v>
      </c>
      <c r="BT42">
        <v>1639</v>
      </c>
      <c r="BV42" t="s">
        <v>1364</v>
      </c>
      <c r="BW42" t="s">
        <v>1365</v>
      </c>
      <c r="BX42" t="s">
        <v>895</v>
      </c>
      <c r="BY42" t="s">
        <v>1366</v>
      </c>
      <c r="CD42" t="s">
        <v>1391</v>
      </c>
      <c r="CG42" t="s">
        <v>1386</v>
      </c>
      <c r="CH42" t="s">
        <v>898</v>
      </c>
      <c r="CI42" t="s">
        <v>1392</v>
      </c>
      <c r="CJ42" t="s">
        <v>1392</v>
      </c>
      <c r="CP42" t="s">
        <v>936</v>
      </c>
      <c r="CT42" t="s">
        <v>901</v>
      </c>
    </row>
    <row r="43" spans="1:98" x14ac:dyDescent="0.15">
      <c r="A43" t="s">
        <v>861</v>
      </c>
      <c r="B43" t="s">
        <v>862</v>
      </c>
      <c r="C43" t="s">
        <v>350</v>
      </c>
      <c r="D43" t="s">
        <v>350</v>
      </c>
      <c r="E43" t="s">
        <v>350</v>
      </c>
      <c r="F43" t="s">
        <v>863</v>
      </c>
      <c r="G43" t="s">
        <v>864</v>
      </c>
      <c r="H43" t="s">
        <v>1026</v>
      </c>
      <c r="I43" t="s">
        <v>349</v>
      </c>
      <c r="J43" t="s">
        <v>1393</v>
      </c>
      <c r="K43" t="s">
        <v>867</v>
      </c>
      <c r="L43" t="s">
        <v>868</v>
      </c>
      <c r="N43" t="s">
        <v>861</v>
      </c>
      <c r="O43">
        <v>0</v>
      </c>
      <c r="P43" t="s">
        <v>1159</v>
      </c>
      <c r="Q43" t="s">
        <v>19</v>
      </c>
      <c r="R43" t="s">
        <v>919</v>
      </c>
      <c r="S43" t="s">
        <v>979</v>
      </c>
      <c r="T43" t="s">
        <v>1265</v>
      </c>
      <c r="U43" t="s">
        <v>1265</v>
      </c>
      <c r="V43" t="s">
        <v>1394</v>
      </c>
      <c r="W43" t="s">
        <v>1357</v>
      </c>
      <c r="Y43" t="s">
        <v>874</v>
      </c>
      <c r="Z43" t="s">
        <v>861</v>
      </c>
      <c r="AA43" t="s">
        <v>958</v>
      </c>
      <c r="AB43" t="s">
        <v>1395</v>
      </c>
      <c r="AD43" t="s">
        <v>923</v>
      </c>
      <c r="AE43" t="s">
        <v>1396</v>
      </c>
      <c r="AF43" t="s">
        <v>1360</v>
      </c>
      <c r="AG43" t="s">
        <v>1397</v>
      </c>
      <c r="AH43" t="s">
        <v>1247</v>
      </c>
      <c r="AI43" t="s">
        <v>957</v>
      </c>
      <c r="AJ43" t="s">
        <v>861</v>
      </c>
      <c r="AK43" t="s">
        <v>880</v>
      </c>
      <c r="AL43" t="s">
        <v>913</v>
      </c>
      <c r="AM43" t="s">
        <v>986</v>
      </c>
      <c r="AN43" t="s">
        <v>986</v>
      </c>
      <c r="AO43" t="s">
        <v>1398</v>
      </c>
      <c r="AP43" t="s">
        <v>957</v>
      </c>
      <c r="AQ43" t="s">
        <v>890</v>
      </c>
      <c r="AR43" t="s">
        <v>1399</v>
      </c>
      <c r="AS43" t="s">
        <v>890</v>
      </c>
      <c r="AT43" t="s">
        <v>890</v>
      </c>
      <c r="AU43" t="s">
        <v>886</v>
      </c>
      <c r="AW43" t="s">
        <v>890</v>
      </c>
      <c r="AX43" t="s">
        <v>890</v>
      </c>
      <c r="AZ43" t="s">
        <v>942</v>
      </c>
      <c r="BA43" t="s">
        <v>988</v>
      </c>
      <c r="BB43" t="s">
        <v>1400</v>
      </c>
      <c r="BK43" t="s">
        <v>891</v>
      </c>
      <c r="BL43">
        <v>223</v>
      </c>
      <c r="BM43">
        <v>67.22</v>
      </c>
      <c r="BN43">
        <v>9702.6</v>
      </c>
      <c r="BO43">
        <v>26020.74</v>
      </c>
      <c r="BP43">
        <v>26020.74</v>
      </c>
      <c r="BQ43">
        <v>26020.74</v>
      </c>
      <c r="BR43">
        <v>0</v>
      </c>
      <c r="BS43" t="s">
        <v>892</v>
      </c>
      <c r="BT43">
        <v>1639</v>
      </c>
      <c r="BV43" t="s">
        <v>1401</v>
      </c>
      <c r="BW43" t="s">
        <v>1402</v>
      </c>
      <c r="BX43" t="s">
        <v>895</v>
      </c>
      <c r="BY43" t="s">
        <v>1403</v>
      </c>
      <c r="CD43" t="s">
        <v>1404</v>
      </c>
      <c r="CG43" t="s">
        <v>1393</v>
      </c>
      <c r="CH43" t="s">
        <v>898</v>
      </c>
      <c r="CI43" t="s">
        <v>1405</v>
      </c>
      <c r="CJ43" t="s">
        <v>1405</v>
      </c>
      <c r="CM43" t="s">
        <v>1044</v>
      </c>
      <c r="CN43" t="s">
        <v>1045</v>
      </c>
      <c r="CO43" t="s">
        <v>1406</v>
      </c>
      <c r="CP43" t="s">
        <v>1275</v>
      </c>
      <c r="CT43" t="s">
        <v>901</v>
      </c>
    </row>
    <row r="44" spans="1:98" x14ac:dyDescent="0.15">
      <c r="A44" t="s">
        <v>861</v>
      </c>
      <c r="B44" t="s">
        <v>862</v>
      </c>
      <c r="C44" t="s">
        <v>575</v>
      </c>
      <c r="D44" t="s">
        <v>575</v>
      </c>
      <c r="E44" t="s">
        <v>575</v>
      </c>
      <c r="F44" t="s">
        <v>863</v>
      </c>
      <c r="G44" t="s">
        <v>864</v>
      </c>
      <c r="H44" t="s">
        <v>916</v>
      </c>
      <c r="I44" t="s">
        <v>574</v>
      </c>
      <c r="J44" t="s">
        <v>1407</v>
      </c>
      <c r="K44" t="s">
        <v>867</v>
      </c>
      <c r="L44" t="s">
        <v>868</v>
      </c>
      <c r="N44" t="s">
        <v>861</v>
      </c>
      <c r="O44">
        <v>0</v>
      </c>
      <c r="P44" t="s">
        <v>1159</v>
      </c>
      <c r="Q44" t="s">
        <v>19</v>
      </c>
      <c r="R44" t="s">
        <v>919</v>
      </c>
      <c r="S44" t="s">
        <v>979</v>
      </c>
      <c r="T44" t="s">
        <v>1408</v>
      </c>
      <c r="U44" t="s">
        <v>1408</v>
      </c>
      <c r="V44" t="s">
        <v>1371</v>
      </c>
      <c r="Y44" t="s">
        <v>874</v>
      </c>
      <c r="Z44" t="s">
        <v>861</v>
      </c>
      <c r="AA44" t="s">
        <v>922</v>
      </c>
      <c r="AD44" t="s">
        <v>923</v>
      </c>
      <c r="AE44" t="s">
        <v>1409</v>
      </c>
      <c r="AJ44" t="s">
        <v>861</v>
      </c>
      <c r="AK44" t="s">
        <v>880</v>
      </c>
      <c r="AL44" t="s">
        <v>913</v>
      </c>
      <c r="AM44" t="s">
        <v>986</v>
      </c>
      <c r="AP44" t="s">
        <v>1266</v>
      </c>
      <c r="AQ44" t="s">
        <v>928</v>
      </c>
      <c r="AS44" t="s">
        <v>928</v>
      </c>
      <c r="AT44" t="s">
        <v>928</v>
      </c>
      <c r="AU44" t="s">
        <v>886</v>
      </c>
      <c r="AW44" t="s">
        <v>928</v>
      </c>
      <c r="AX44" t="s">
        <v>928</v>
      </c>
      <c r="AZ44" t="s">
        <v>1382</v>
      </c>
      <c r="BA44" t="s">
        <v>930</v>
      </c>
      <c r="BK44" t="s">
        <v>891</v>
      </c>
      <c r="BL44">
        <v>493</v>
      </c>
      <c r="BM44">
        <v>69.72</v>
      </c>
      <c r="BN44">
        <v>9353.4</v>
      </c>
      <c r="BO44">
        <v>23397.95</v>
      </c>
      <c r="BP44">
        <v>23397.95</v>
      </c>
      <c r="BQ44">
        <v>23397.95</v>
      </c>
      <c r="BR44">
        <v>0</v>
      </c>
      <c r="BS44" t="s">
        <v>892</v>
      </c>
      <c r="BT44">
        <v>1639</v>
      </c>
      <c r="BV44" t="s">
        <v>1174</v>
      </c>
      <c r="BW44" t="s">
        <v>1374</v>
      </c>
      <c r="BX44" t="s">
        <v>895</v>
      </c>
      <c r="BY44" t="s">
        <v>1410</v>
      </c>
      <c r="CD44" t="s">
        <v>1411</v>
      </c>
      <c r="CG44" t="s">
        <v>1407</v>
      </c>
      <c r="CH44" t="s">
        <v>898</v>
      </c>
      <c r="CI44" t="s">
        <v>1412</v>
      </c>
      <c r="CJ44" t="s">
        <v>1412</v>
      </c>
      <c r="CP44" t="s">
        <v>1250</v>
      </c>
      <c r="CT44" t="s">
        <v>901</v>
      </c>
    </row>
    <row r="45" spans="1:98" x14ac:dyDescent="0.15">
      <c r="A45" t="s">
        <v>861</v>
      </c>
      <c r="B45" t="s">
        <v>862</v>
      </c>
      <c r="C45" t="s">
        <v>509</v>
      </c>
      <c r="D45" t="s">
        <v>509</v>
      </c>
      <c r="E45" t="s">
        <v>509</v>
      </c>
      <c r="F45" t="s">
        <v>863</v>
      </c>
      <c r="G45" t="s">
        <v>864</v>
      </c>
      <c r="H45" t="s">
        <v>916</v>
      </c>
      <c r="I45" t="s">
        <v>508</v>
      </c>
      <c r="J45" t="s">
        <v>1413</v>
      </c>
      <c r="K45" t="s">
        <v>867</v>
      </c>
      <c r="L45" t="s">
        <v>868</v>
      </c>
      <c r="N45" t="s">
        <v>861</v>
      </c>
      <c r="O45">
        <v>0</v>
      </c>
      <c r="P45" t="s">
        <v>1159</v>
      </c>
      <c r="Q45" t="s">
        <v>15</v>
      </c>
      <c r="R45" t="s">
        <v>919</v>
      </c>
      <c r="S45" t="s">
        <v>954</v>
      </c>
      <c r="T45" t="s">
        <v>1414</v>
      </c>
      <c r="U45" t="s">
        <v>1414</v>
      </c>
      <c r="V45" t="s">
        <v>981</v>
      </c>
      <c r="W45" t="s">
        <v>968</v>
      </c>
      <c r="Y45" t="s">
        <v>874</v>
      </c>
      <c r="Z45" t="s">
        <v>861</v>
      </c>
      <c r="AA45" t="s">
        <v>922</v>
      </c>
      <c r="AD45" t="s">
        <v>923</v>
      </c>
      <c r="AE45" t="s">
        <v>1415</v>
      </c>
      <c r="AJ45" t="s">
        <v>861</v>
      </c>
      <c r="AK45" t="s">
        <v>880</v>
      </c>
      <c r="AP45" t="s">
        <v>1003</v>
      </c>
      <c r="AZ45" t="s">
        <v>1266</v>
      </c>
      <c r="BK45" t="s">
        <v>891</v>
      </c>
      <c r="BL45">
        <v>592</v>
      </c>
      <c r="BM45">
        <v>68.430000000000007</v>
      </c>
      <c r="BN45">
        <v>11378</v>
      </c>
      <c r="BO45">
        <v>30791.42</v>
      </c>
      <c r="BP45">
        <v>30791.42</v>
      </c>
      <c r="BQ45">
        <v>30791.42</v>
      </c>
      <c r="BR45">
        <v>0</v>
      </c>
      <c r="BS45" t="s">
        <v>892</v>
      </c>
      <c r="BT45">
        <v>2639</v>
      </c>
      <c r="BV45" t="s">
        <v>1164</v>
      </c>
      <c r="BW45" t="s">
        <v>1165</v>
      </c>
      <c r="BX45" t="s">
        <v>895</v>
      </c>
      <c r="BY45" t="s">
        <v>1237</v>
      </c>
      <c r="CD45" t="s">
        <v>1416</v>
      </c>
      <c r="CG45" t="s">
        <v>1413</v>
      </c>
      <c r="CH45" t="s">
        <v>898</v>
      </c>
      <c r="CI45" t="s">
        <v>1417</v>
      </c>
      <c r="CJ45" t="s">
        <v>1417</v>
      </c>
      <c r="CP45" t="s">
        <v>1418</v>
      </c>
      <c r="CT45" t="s">
        <v>901</v>
      </c>
    </row>
    <row r="46" spans="1:98" x14ac:dyDescent="0.15">
      <c r="A46" t="s">
        <v>861</v>
      </c>
      <c r="B46" t="s">
        <v>862</v>
      </c>
      <c r="C46" t="s">
        <v>552</v>
      </c>
      <c r="D46" t="s">
        <v>552</v>
      </c>
      <c r="E46" t="s">
        <v>552</v>
      </c>
      <c r="F46" t="s">
        <v>863</v>
      </c>
      <c r="G46" t="s">
        <v>864</v>
      </c>
      <c r="H46" t="s">
        <v>916</v>
      </c>
      <c r="I46" t="s">
        <v>551</v>
      </c>
      <c r="J46" t="s">
        <v>1419</v>
      </c>
      <c r="K46" t="s">
        <v>867</v>
      </c>
      <c r="L46" t="s">
        <v>868</v>
      </c>
      <c r="N46" t="s">
        <v>861</v>
      </c>
      <c r="O46">
        <v>0</v>
      </c>
      <c r="P46" t="s">
        <v>1159</v>
      </c>
      <c r="Q46" t="s">
        <v>15</v>
      </c>
      <c r="R46" t="s">
        <v>919</v>
      </c>
      <c r="S46" t="s">
        <v>954</v>
      </c>
      <c r="T46" t="s">
        <v>1414</v>
      </c>
      <c r="U46" t="s">
        <v>1414</v>
      </c>
      <c r="V46" t="s">
        <v>981</v>
      </c>
      <c r="W46" t="s">
        <v>968</v>
      </c>
      <c r="Y46" t="s">
        <v>874</v>
      </c>
      <c r="Z46" t="s">
        <v>861</v>
      </c>
      <c r="AA46" t="s">
        <v>922</v>
      </c>
      <c r="AD46" t="s">
        <v>923</v>
      </c>
      <c r="AE46" t="s">
        <v>1420</v>
      </c>
      <c r="AJ46" t="s">
        <v>861</v>
      </c>
      <c r="AK46" t="s">
        <v>880</v>
      </c>
      <c r="AP46" t="s">
        <v>1003</v>
      </c>
      <c r="AZ46" t="s">
        <v>1266</v>
      </c>
      <c r="BK46" t="s">
        <v>891</v>
      </c>
      <c r="BL46">
        <v>631</v>
      </c>
      <c r="BM46">
        <v>66.34</v>
      </c>
      <c r="BN46">
        <v>13638.1</v>
      </c>
      <c r="BO46">
        <v>31574.1</v>
      </c>
      <c r="BP46">
        <v>31574.1</v>
      </c>
      <c r="BQ46">
        <v>31574.1</v>
      </c>
      <c r="BR46">
        <v>0</v>
      </c>
      <c r="BS46" t="s">
        <v>892</v>
      </c>
      <c r="BT46">
        <v>2639</v>
      </c>
      <c r="BV46" t="s">
        <v>1164</v>
      </c>
      <c r="BW46" t="s">
        <v>1165</v>
      </c>
      <c r="BX46" t="s">
        <v>895</v>
      </c>
      <c r="BY46" t="s">
        <v>1237</v>
      </c>
      <c r="CD46" t="s">
        <v>1416</v>
      </c>
      <c r="CG46" t="s">
        <v>1419</v>
      </c>
      <c r="CH46" t="s">
        <v>898</v>
      </c>
      <c r="CI46" t="s">
        <v>1421</v>
      </c>
      <c r="CJ46" t="s">
        <v>1421</v>
      </c>
      <c r="CP46" t="s">
        <v>1418</v>
      </c>
      <c r="CT46" t="s">
        <v>901</v>
      </c>
    </row>
    <row r="47" spans="1:98" x14ac:dyDescent="0.15">
      <c r="A47" t="s">
        <v>861</v>
      </c>
      <c r="B47" t="s">
        <v>862</v>
      </c>
      <c r="C47" t="s">
        <v>89</v>
      </c>
      <c r="D47" t="s">
        <v>89</v>
      </c>
      <c r="E47" t="s">
        <v>89</v>
      </c>
      <c r="F47" t="s">
        <v>863</v>
      </c>
      <c r="G47" t="s">
        <v>864</v>
      </c>
      <c r="H47" t="s">
        <v>996</v>
      </c>
      <c r="I47" t="s">
        <v>88</v>
      </c>
      <c r="J47" t="s">
        <v>1422</v>
      </c>
      <c r="K47" t="s">
        <v>867</v>
      </c>
      <c r="L47" t="s">
        <v>868</v>
      </c>
      <c r="N47" t="s">
        <v>861</v>
      </c>
      <c r="O47">
        <v>0</v>
      </c>
      <c r="P47" t="s">
        <v>1159</v>
      </c>
      <c r="Q47" t="s">
        <v>15</v>
      </c>
      <c r="R47" t="s">
        <v>919</v>
      </c>
      <c r="S47" t="s">
        <v>954</v>
      </c>
      <c r="T47" t="s">
        <v>955</v>
      </c>
      <c r="U47" t="s">
        <v>955</v>
      </c>
      <c r="V47" t="s">
        <v>1356</v>
      </c>
      <c r="W47" t="s">
        <v>957</v>
      </c>
      <c r="Y47" t="s">
        <v>910</v>
      </c>
      <c r="Z47" t="s">
        <v>861</v>
      </c>
      <c r="AA47" t="s">
        <v>958</v>
      </c>
      <c r="AB47" t="s">
        <v>1423</v>
      </c>
      <c r="AD47" t="s">
        <v>923</v>
      </c>
      <c r="AE47" t="s">
        <v>1424</v>
      </c>
      <c r="AF47" t="s">
        <v>962</v>
      </c>
      <c r="AH47" t="s">
        <v>964</v>
      </c>
      <c r="AI47" t="s">
        <v>965</v>
      </c>
      <c r="AJ47" t="s">
        <v>861</v>
      </c>
      <c r="AK47" t="s">
        <v>880</v>
      </c>
      <c r="AL47" t="s">
        <v>966</v>
      </c>
      <c r="AM47" t="s">
        <v>967</v>
      </c>
      <c r="AP47" t="s">
        <v>965</v>
      </c>
      <c r="AQ47" t="s">
        <v>968</v>
      </c>
      <c r="AS47" t="s">
        <v>968</v>
      </c>
      <c r="AT47" t="s">
        <v>968</v>
      </c>
      <c r="AU47" t="s">
        <v>886</v>
      </c>
      <c r="AW47" t="s">
        <v>942</v>
      </c>
      <c r="AX47" t="s">
        <v>969</v>
      </c>
      <c r="AZ47" t="s">
        <v>925</v>
      </c>
      <c r="BA47" t="s">
        <v>1425</v>
      </c>
      <c r="BK47" t="s">
        <v>891</v>
      </c>
      <c r="BL47">
        <v>616</v>
      </c>
      <c r="BM47">
        <v>69.959999999999994</v>
      </c>
      <c r="BN47">
        <v>12016.86</v>
      </c>
      <c r="BO47">
        <v>29143.56</v>
      </c>
      <c r="BP47">
        <v>29143.56</v>
      </c>
      <c r="BQ47">
        <v>29143.56</v>
      </c>
      <c r="BR47">
        <v>0</v>
      </c>
      <c r="BS47" t="s">
        <v>892</v>
      </c>
      <c r="BT47">
        <v>2639</v>
      </c>
      <c r="BV47" t="s">
        <v>1364</v>
      </c>
      <c r="BW47" t="s">
        <v>1365</v>
      </c>
      <c r="BX47" t="s">
        <v>895</v>
      </c>
      <c r="BY47" t="s">
        <v>1426</v>
      </c>
      <c r="CD47" t="s">
        <v>1427</v>
      </c>
      <c r="CG47" t="s">
        <v>1422</v>
      </c>
      <c r="CH47" t="s">
        <v>898</v>
      </c>
      <c r="CI47" t="s">
        <v>1428</v>
      </c>
      <c r="CJ47" t="s">
        <v>1428</v>
      </c>
      <c r="CP47" t="s">
        <v>1219</v>
      </c>
      <c r="CT47" t="s">
        <v>901</v>
      </c>
    </row>
    <row r="48" spans="1:98" x14ac:dyDescent="0.15">
      <c r="A48" t="s">
        <v>861</v>
      </c>
      <c r="B48" t="s">
        <v>862</v>
      </c>
      <c r="C48" t="s">
        <v>17</v>
      </c>
      <c r="D48" t="s">
        <v>17</v>
      </c>
      <c r="E48" t="s">
        <v>17</v>
      </c>
      <c r="F48" t="s">
        <v>863</v>
      </c>
      <c r="G48" t="s">
        <v>864</v>
      </c>
      <c r="H48" t="s">
        <v>996</v>
      </c>
      <c r="I48" t="s">
        <v>14</v>
      </c>
      <c r="J48" t="s">
        <v>1429</v>
      </c>
      <c r="K48" t="s">
        <v>867</v>
      </c>
      <c r="L48" t="s">
        <v>868</v>
      </c>
      <c r="N48" t="s">
        <v>861</v>
      </c>
      <c r="O48">
        <v>0</v>
      </c>
      <c r="P48" t="s">
        <v>1159</v>
      </c>
      <c r="Q48" t="s">
        <v>15</v>
      </c>
      <c r="R48" t="s">
        <v>919</v>
      </c>
      <c r="S48" t="s">
        <v>954</v>
      </c>
      <c r="T48" t="s">
        <v>955</v>
      </c>
      <c r="U48" t="s">
        <v>955</v>
      </c>
      <c r="V48" t="s">
        <v>1356</v>
      </c>
      <c r="W48" t="s">
        <v>957</v>
      </c>
      <c r="Y48" t="s">
        <v>874</v>
      </c>
      <c r="Z48" t="s">
        <v>861</v>
      </c>
      <c r="AA48" t="s">
        <v>958</v>
      </c>
      <c r="AB48" t="s">
        <v>1430</v>
      </c>
      <c r="AD48" t="s">
        <v>923</v>
      </c>
      <c r="AE48" t="s">
        <v>1431</v>
      </c>
      <c r="AF48" t="s">
        <v>962</v>
      </c>
      <c r="AJ48" t="s">
        <v>861</v>
      </c>
      <c r="AK48" t="s">
        <v>880</v>
      </c>
      <c r="AL48" t="s">
        <v>966</v>
      </c>
      <c r="AM48" t="s">
        <v>967</v>
      </c>
      <c r="AP48" t="s">
        <v>968</v>
      </c>
      <c r="AQ48" t="s">
        <v>968</v>
      </c>
      <c r="AS48" t="s">
        <v>968</v>
      </c>
      <c r="AT48" t="s">
        <v>968</v>
      </c>
      <c r="AU48" t="s">
        <v>886</v>
      </c>
      <c r="AW48" t="s">
        <v>942</v>
      </c>
      <c r="AX48" t="s">
        <v>969</v>
      </c>
      <c r="AZ48" t="s">
        <v>925</v>
      </c>
      <c r="BA48" t="s">
        <v>1425</v>
      </c>
      <c r="BK48" t="s">
        <v>891</v>
      </c>
      <c r="BL48">
        <v>314</v>
      </c>
      <c r="BM48">
        <v>67.239999999999995</v>
      </c>
      <c r="BN48">
        <v>9154.73</v>
      </c>
      <c r="BO48">
        <v>23841.18</v>
      </c>
      <c r="BP48">
        <v>23841.18</v>
      </c>
      <c r="BQ48">
        <v>23841.18</v>
      </c>
      <c r="BR48">
        <v>0</v>
      </c>
      <c r="BS48" t="s">
        <v>892</v>
      </c>
      <c r="BT48">
        <v>2639</v>
      </c>
      <c r="BV48" t="s">
        <v>1364</v>
      </c>
      <c r="BW48" t="s">
        <v>1365</v>
      </c>
      <c r="BX48" t="s">
        <v>895</v>
      </c>
      <c r="BY48" t="s">
        <v>1432</v>
      </c>
      <c r="CD48" t="s">
        <v>1433</v>
      </c>
      <c r="CG48" t="s">
        <v>1429</v>
      </c>
      <c r="CH48" t="s">
        <v>898</v>
      </c>
      <c r="CI48" t="s">
        <v>1434</v>
      </c>
      <c r="CJ48" t="s">
        <v>1434</v>
      </c>
      <c r="CP48" t="s">
        <v>1219</v>
      </c>
      <c r="CT48" t="s">
        <v>901</v>
      </c>
    </row>
    <row r="49" spans="1:98" x14ac:dyDescent="0.15">
      <c r="A49" t="s">
        <v>861</v>
      </c>
      <c r="B49" t="s">
        <v>862</v>
      </c>
      <c r="C49" t="s">
        <v>548</v>
      </c>
      <c r="D49" t="s">
        <v>548</v>
      </c>
      <c r="E49" t="s">
        <v>548</v>
      </c>
      <c r="F49" t="s">
        <v>863</v>
      </c>
      <c r="G49" t="s">
        <v>864</v>
      </c>
      <c r="H49" t="s">
        <v>916</v>
      </c>
      <c r="I49" t="s">
        <v>547</v>
      </c>
      <c r="J49" t="s">
        <v>1435</v>
      </c>
      <c r="K49" t="s">
        <v>867</v>
      </c>
      <c r="L49" t="s">
        <v>868</v>
      </c>
      <c r="N49" t="s">
        <v>1259</v>
      </c>
      <c r="O49">
        <v>0</v>
      </c>
      <c r="P49" t="s">
        <v>1159</v>
      </c>
      <c r="Q49" t="s">
        <v>15</v>
      </c>
      <c r="R49" t="s">
        <v>919</v>
      </c>
      <c r="S49" t="s">
        <v>954</v>
      </c>
      <c r="T49" t="s">
        <v>1380</v>
      </c>
      <c r="U49" t="s">
        <v>1380</v>
      </c>
      <c r="V49" t="s">
        <v>1371</v>
      </c>
      <c r="W49" t="s">
        <v>1276</v>
      </c>
      <c r="Y49" t="s">
        <v>874</v>
      </c>
      <c r="Z49" t="s">
        <v>861</v>
      </c>
      <c r="AA49" t="s">
        <v>922</v>
      </c>
      <c r="AD49" t="s">
        <v>923</v>
      </c>
      <c r="AE49" t="s">
        <v>1436</v>
      </c>
      <c r="AJ49" t="s">
        <v>861</v>
      </c>
      <c r="AK49" t="s">
        <v>880</v>
      </c>
      <c r="AP49" t="s">
        <v>1382</v>
      </c>
      <c r="AZ49" t="s">
        <v>1051</v>
      </c>
      <c r="BK49" t="s">
        <v>891</v>
      </c>
      <c r="BL49">
        <v>331</v>
      </c>
      <c r="BM49">
        <v>67.75</v>
      </c>
      <c r="BN49">
        <v>10046.799999999999</v>
      </c>
      <c r="BO49">
        <v>27588.53</v>
      </c>
      <c r="BP49">
        <v>27588.53</v>
      </c>
      <c r="BQ49">
        <v>27588.53</v>
      </c>
      <c r="BR49">
        <v>0</v>
      </c>
      <c r="BS49" t="s">
        <v>892</v>
      </c>
      <c r="BT49">
        <v>2639</v>
      </c>
      <c r="BV49" t="s">
        <v>1174</v>
      </c>
      <c r="BW49" t="s">
        <v>1374</v>
      </c>
      <c r="BX49" t="s">
        <v>895</v>
      </c>
      <c r="BY49" t="s">
        <v>1410</v>
      </c>
      <c r="CD49" t="s">
        <v>1437</v>
      </c>
      <c r="CG49" t="s">
        <v>1435</v>
      </c>
      <c r="CH49" t="s">
        <v>898</v>
      </c>
      <c r="CI49" t="s">
        <v>1438</v>
      </c>
      <c r="CJ49" t="s">
        <v>1438</v>
      </c>
      <c r="CP49" t="s">
        <v>1378</v>
      </c>
      <c r="CT49" t="s">
        <v>901</v>
      </c>
    </row>
    <row r="50" spans="1:98" x14ac:dyDescent="0.15">
      <c r="A50" t="s">
        <v>861</v>
      </c>
      <c r="B50" t="s">
        <v>862</v>
      </c>
      <c r="C50" t="s">
        <v>130</v>
      </c>
      <c r="D50" t="s">
        <v>130</v>
      </c>
      <c r="E50" t="s">
        <v>130</v>
      </c>
      <c r="F50" t="s">
        <v>863</v>
      </c>
      <c r="G50" t="s">
        <v>864</v>
      </c>
      <c r="H50" t="s">
        <v>865</v>
      </c>
      <c r="I50" t="s">
        <v>128</v>
      </c>
      <c r="J50" t="s">
        <v>1439</v>
      </c>
      <c r="K50" t="s">
        <v>977</v>
      </c>
      <c r="L50" t="s">
        <v>868</v>
      </c>
      <c r="N50" t="s">
        <v>861</v>
      </c>
      <c r="O50">
        <v>0</v>
      </c>
      <c r="P50" t="s">
        <v>960</v>
      </c>
      <c r="Q50" t="s">
        <v>125</v>
      </c>
      <c r="R50" t="s">
        <v>1123</v>
      </c>
      <c r="S50" t="s">
        <v>871</v>
      </c>
      <c r="T50" t="s">
        <v>1440</v>
      </c>
      <c r="U50" t="s">
        <v>1440</v>
      </c>
      <c r="V50" t="s">
        <v>1441</v>
      </c>
      <c r="Y50" t="s">
        <v>874</v>
      </c>
      <c r="Z50" t="s">
        <v>861</v>
      </c>
      <c r="AA50" t="s">
        <v>958</v>
      </c>
      <c r="AB50" t="s">
        <v>1442</v>
      </c>
      <c r="AD50" t="s">
        <v>923</v>
      </c>
      <c r="AE50" t="s">
        <v>1443</v>
      </c>
      <c r="AF50" t="s">
        <v>1444</v>
      </c>
      <c r="AG50" t="s">
        <v>1260</v>
      </c>
      <c r="AH50" t="s">
        <v>1032</v>
      </c>
      <c r="AI50" t="s">
        <v>1226</v>
      </c>
      <c r="AJ50" t="s">
        <v>861</v>
      </c>
      <c r="AK50" t="s">
        <v>880</v>
      </c>
      <c r="AL50" t="s">
        <v>881</v>
      </c>
      <c r="AM50" t="s">
        <v>882</v>
      </c>
      <c r="AP50" t="s">
        <v>1226</v>
      </c>
      <c r="AQ50" t="s">
        <v>1038</v>
      </c>
      <c r="AR50" t="s">
        <v>1038</v>
      </c>
      <c r="AS50" t="s">
        <v>1038</v>
      </c>
      <c r="AT50" t="s">
        <v>1038</v>
      </c>
      <c r="AU50" t="s">
        <v>886</v>
      </c>
      <c r="AW50" t="s">
        <v>1265</v>
      </c>
      <c r="AX50" t="s">
        <v>988</v>
      </c>
      <c r="AZ50" t="s">
        <v>1017</v>
      </c>
      <c r="BA50" t="s">
        <v>1061</v>
      </c>
      <c r="BK50" t="s">
        <v>1134</v>
      </c>
      <c r="BL50">
        <v>190</v>
      </c>
      <c r="BM50">
        <v>66.77</v>
      </c>
      <c r="BN50">
        <v>24879</v>
      </c>
      <c r="BO50">
        <v>47553.3</v>
      </c>
      <c r="BP50">
        <v>47553.3</v>
      </c>
      <c r="BQ50">
        <v>50445.39</v>
      </c>
      <c r="BR50">
        <v>2892.1</v>
      </c>
      <c r="BS50" t="s">
        <v>892</v>
      </c>
      <c r="BT50">
        <v>2886</v>
      </c>
      <c r="BV50" t="s">
        <v>1445</v>
      </c>
      <c r="BW50" t="s">
        <v>1446</v>
      </c>
      <c r="BX50" t="s">
        <v>895</v>
      </c>
      <c r="BY50" t="s">
        <v>1054</v>
      </c>
      <c r="CD50" t="s">
        <v>1447</v>
      </c>
      <c r="CG50" t="s">
        <v>1448</v>
      </c>
      <c r="CH50" t="s">
        <v>994</v>
      </c>
      <c r="CI50" t="s">
        <v>1448</v>
      </c>
      <c r="CJ50" t="s">
        <v>1448</v>
      </c>
      <c r="CP50" t="s">
        <v>1048</v>
      </c>
      <c r="CT50" t="s">
        <v>901</v>
      </c>
    </row>
    <row r="51" spans="1:98" x14ac:dyDescent="0.15">
      <c r="A51" t="s">
        <v>861</v>
      </c>
      <c r="B51" t="s">
        <v>862</v>
      </c>
      <c r="C51" t="s">
        <v>567</v>
      </c>
      <c r="D51" t="s">
        <v>567</v>
      </c>
      <c r="E51" t="s">
        <v>567</v>
      </c>
      <c r="F51" t="s">
        <v>863</v>
      </c>
      <c r="G51" t="s">
        <v>864</v>
      </c>
      <c r="H51" t="s">
        <v>916</v>
      </c>
      <c r="I51" t="s">
        <v>566</v>
      </c>
      <c r="J51" t="s">
        <v>1449</v>
      </c>
      <c r="K51" t="s">
        <v>977</v>
      </c>
      <c r="L51" t="s">
        <v>868</v>
      </c>
      <c r="N51" t="s">
        <v>861</v>
      </c>
      <c r="O51">
        <v>0</v>
      </c>
      <c r="P51" t="s">
        <v>1142</v>
      </c>
      <c r="Q51" t="s">
        <v>15</v>
      </c>
      <c r="R51" t="s">
        <v>919</v>
      </c>
      <c r="S51" t="s">
        <v>954</v>
      </c>
      <c r="T51" t="s">
        <v>1278</v>
      </c>
      <c r="U51" t="s">
        <v>1278</v>
      </c>
      <c r="V51" t="s">
        <v>1234</v>
      </c>
      <c r="W51" t="s">
        <v>942</v>
      </c>
      <c r="Y51" t="s">
        <v>874</v>
      </c>
      <c r="Z51" t="s">
        <v>861</v>
      </c>
      <c r="AA51" t="s">
        <v>922</v>
      </c>
      <c r="AD51" t="s">
        <v>923</v>
      </c>
      <c r="AE51" t="s">
        <v>1450</v>
      </c>
      <c r="AJ51" t="s">
        <v>861</v>
      </c>
      <c r="AK51" t="s">
        <v>880</v>
      </c>
      <c r="AP51" t="s">
        <v>1266</v>
      </c>
      <c r="AZ51" t="s">
        <v>1451</v>
      </c>
      <c r="BK51" t="s">
        <v>891</v>
      </c>
      <c r="BL51">
        <v>747</v>
      </c>
      <c r="BM51">
        <v>70.650000000000006</v>
      </c>
      <c r="BN51">
        <v>15110</v>
      </c>
      <c r="BO51">
        <v>27935.7</v>
      </c>
      <c r="BP51">
        <v>27935.7</v>
      </c>
      <c r="BQ51">
        <v>27935.7</v>
      </c>
      <c r="BR51">
        <v>0</v>
      </c>
      <c r="BS51" t="s">
        <v>892</v>
      </c>
      <c r="BT51">
        <v>2906</v>
      </c>
      <c r="BV51" t="s">
        <v>1452</v>
      </c>
      <c r="BW51" t="s">
        <v>1453</v>
      </c>
      <c r="BX51" t="s">
        <v>895</v>
      </c>
      <c r="BY51" t="s">
        <v>1454</v>
      </c>
      <c r="CD51" t="s">
        <v>1455</v>
      </c>
      <c r="CG51" t="s">
        <v>1456</v>
      </c>
      <c r="CH51" t="s">
        <v>994</v>
      </c>
      <c r="CI51" t="s">
        <v>1456</v>
      </c>
      <c r="CJ51" t="s">
        <v>1456</v>
      </c>
      <c r="CP51" t="s">
        <v>1457</v>
      </c>
      <c r="CT51" t="s">
        <v>901</v>
      </c>
    </row>
    <row r="52" spans="1:98" x14ac:dyDescent="0.15">
      <c r="A52" t="s">
        <v>861</v>
      </c>
      <c r="B52" t="s">
        <v>862</v>
      </c>
      <c r="C52" t="s">
        <v>749</v>
      </c>
      <c r="D52" t="s">
        <v>749</v>
      </c>
      <c r="E52" t="s">
        <v>749</v>
      </c>
      <c r="F52" t="s">
        <v>863</v>
      </c>
      <c r="G52" t="s">
        <v>864</v>
      </c>
      <c r="H52" t="s">
        <v>863</v>
      </c>
      <c r="I52" t="s">
        <v>748</v>
      </c>
      <c r="J52" t="s">
        <v>1458</v>
      </c>
      <c r="K52" t="s">
        <v>867</v>
      </c>
      <c r="L52" t="s">
        <v>868</v>
      </c>
      <c r="N52" t="s">
        <v>861</v>
      </c>
      <c r="O52">
        <v>0</v>
      </c>
      <c r="P52" t="s">
        <v>1180</v>
      </c>
      <c r="Q52" t="s">
        <v>15</v>
      </c>
      <c r="R52" t="s">
        <v>919</v>
      </c>
      <c r="S52" t="s">
        <v>954</v>
      </c>
      <c r="T52" t="s">
        <v>1370</v>
      </c>
      <c r="U52" t="s">
        <v>1370</v>
      </c>
      <c r="V52" t="s">
        <v>900</v>
      </c>
      <c r="W52" t="s">
        <v>1276</v>
      </c>
      <c r="Y52" t="s">
        <v>910</v>
      </c>
      <c r="Z52" t="s">
        <v>861</v>
      </c>
      <c r="AA52" t="s">
        <v>922</v>
      </c>
      <c r="AD52" t="s">
        <v>869</v>
      </c>
      <c r="AJ52" t="s">
        <v>861</v>
      </c>
      <c r="AK52" t="s">
        <v>880</v>
      </c>
      <c r="AP52" t="s">
        <v>1266</v>
      </c>
      <c r="AZ52" t="s">
        <v>1373</v>
      </c>
      <c r="BK52" t="s">
        <v>891</v>
      </c>
      <c r="BL52">
        <v>755</v>
      </c>
      <c r="BM52">
        <v>66.38</v>
      </c>
      <c r="BN52">
        <v>17528.25</v>
      </c>
      <c r="BO52">
        <v>22978.65</v>
      </c>
      <c r="BP52">
        <v>22978.65</v>
      </c>
      <c r="BQ52">
        <v>22978.65</v>
      </c>
      <c r="BR52">
        <v>0</v>
      </c>
      <c r="BS52" t="s">
        <v>892</v>
      </c>
      <c r="BT52">
        <v>2859</v>
      </c>
      <c r="BV52" t="s">
        <v>1459</v>
      </c>
      <c r="BW52" t="s">
        <v>1460</v>
      </c>
      <c r="BX52" t="s">
        <v>1007</v>
      </c>
      <c r="BY52" t="s">
        <v>1461</v>
      </c>
      <c r="CD52" t="s">
        <v>1462</v>
      </c>
      <c r="CG52" t="s">
        <v>1458</v>
      </c>
      <c r="CH52" t="s">
        <v>898</v>
      </c>
      <c r="CI52" t="s">
        <v>1463</v>
      </c>
      <c r="CJ52" t="s">
        <v>1463</v>
      </c>
      <c r="CP52" t="s">
        <v>1464</v>
      </c>
      <c r="CS52" t="s">
        <v>1210</v>
      </c>
      <c r="CT52" t="s">
        <v>901</v>
      </c>
    </row>
    <row r="53" spans="1:98" x14ac:dyDescent="0.15">
      <c r="A53" t="s">
        <v>861</v>
      </c>
      <c r="B53" t="s">
        <v>862</v>
      </c>
      <c r="C53" t="s">
        <v>724</v>
      </c>
      <c r="D53" t="s">
        <v>724</v>
      </c>
      <c r="E53" t="s">
        <v>724</v>
      </c>
      <c r="F53" t="s">
        <v>863</v>
      </c>
      <c r="G53" t="s">
        <v>864</v>
      </c>
      <c r="H53" t="s">
        <v>863</v>
      </c>
      <c r="I53" t="s">
        <v>723</v>
      </c>
      <c r="J53" t="s">
        <v>1465</v>
      </c>
      <c r="K53" t="s">
        <v>867</v>
      </c>
      <c r="L53" t="s">
        <v>868</v>
      </c>
      <c r="N53" t="s">
        <v>861</v>
      </c>
      <c r="O53">
        <v>0</v>
      </c>
      <c r="P53" t="s">
        <v>1180</v>
      </c>
      <c r="Q53" t="s">
        <v>15</v>
      </c>
      <c r="R53" t="s">
        <v>919</v>
      </c>
      <c r="S53" t="s">
        <v>954</v>
      </c>
      <c r="T53" t="s">
        <v>1370</v>
      </c>
      <c r="U53" t="s">
        <v>1370</v>
      </c>
      <c r="V53" t="s">
        <v>900</v>
      </c>
      <c r="W53" t="s">
        <v>1276</v>
      </c>
      <c r="Y53" t="s">
        <v>874</v>
      </c>
      <c r="Z53" t="s">
        <v>861</v>
      </c>
      <c r="AA53" t="s">
        <v>922</v>
      </c>
      <c r="AD53" t="s">
        <v>869</v>
      </c>
      <c r="AJ53" t="s">
        <v>861</v>
      </c>
      <c r="AK53" t="s">
        <v>880</v>
      </c>
      <c r="AP53" t="s">
        <v>1266</v>
      </c>
      <c r="AZ53" t="s">
        <v>1373</v>
      </c>
      <c r="BK53" t="s">
        <v>891</v>
      </c>
      <c r="BL53">
        <v>800</v>
      </c>
      <c r="BM53">
        <v>66.989999999999995</v>
      </c>
      <c r="BN53">
        <v>16006.94</v>
      </c>
      <c r="BO53">
        <v>25530.87</v>
      </c>
      <c r="BP53">
        <v>25530.87</v>
      </c>
      <c r="BQ53">
        <v>25530.87</v>
      </c>
      <c r="BR53">
        <v>0</v>
      </c>
      <c r="BS53" t="s">
        <v>892</v>
      </c>
      <c r="BT53">
        <v>2859</v>
      </c>
      <c r="BV53" t="s">
        <v>1459</v>
      </c>
      <c r="BW53" t="s">
        <v>1460</v>
      </c>
      <c r="BX53" t="s">
        <v>1007</v>
      </c>
      <c r="BY53" t="s">
        <v>1461</v>
      </c>
      <c r="CD53" t="s">
        <v>1466</v>
      </c>
      <c r="CG53" t="s">
        <v>1465</v>
      </c>
      <c r="CH53" t="s">
        <v>898</v>
      </c>
      <c r="CI53" t="s">
        <v>1467</v>
      </c>
      <c r="CJ53" t="s">
        <v>1467</v>
      </c>
      <c r="CP53" t="s">
        <v>1464</v>
      </c>
      <c r="CT53" t="s">
        <v>901</v>
      </c>
    </row>
    <row r="54" spans="1:98" x14ac:dyDescent="0.15">
      <c r="A54" t="s">
        <v>861</v>
      </c>
      <c r="B54" t="s">
        <v>862</v>
      </c>
      <c r="C54" t="s">
        <v>596</v>
      </c>
      <c r="D54" t="s">
        <v>596</v>
      </c>
      <c r="E54" t="s">
        <v>596</v>
      </c>
      <c r="F54" t="s">
        <v>863</v>
      </c>
      <c r="G54" t="s">
        <v>864</v>
      </c>
      <c r="H54" t="s">
        <v>863</v>
      </c>
      <c r="I54" t="s">
        <v>595</v>
      </c>
      <c r="J54" t="s">
        <v>1468</v>
      </c>
      <c r="K54" t="s">
        <v>977</v>
      </c>
      <c r="L54" t="s">
        <v>868</v>
      </c>
      <c r="N54" t="s">
        <v>861</v>
      </c>
      <c r="O54">
        <v>0</v>
      </c>
      <c r="P54" t="s">
        <v>960</v>
      </c>
      <c r="Q54" t="s">
        <v>125</v>
      </c>
      <c r="R54" t="s">
        <v>1123</v>
      </c>
      <c r="S54" t="s">
        <v>871</v>
      </c>
      <c r="T54" t="s">
        <v>1152</v>
      </c>
      <c r="U54" t="s">
        <v>1152</v>
      </c>
      <c r="V54" t="s">
        <v>900</v>
      </c>
      <c r="Y54" t="s">
        <v>874</v>
      </c>
      <c r="Z54" t="s">
        <v>861</v>
      </c>
      <c r="AA54" t="s">
        <v>958</v>
      </c>
      <c r="AB54" t="s">
        <v>1469</v>
      </c>
      <c r="AJ54" t="s">
        <v>861</v>
      </c>
      <c r="AK54" t="s">
        <v>880</v>
      </c>
      <c r="AL54" t="s">
        <v>913</v>
      </c>
      <c r="AM54" t="s">
        <v>882</v>
      </c>
      <c r="AP54" t="s">
        <v>965</v>
      </c>
      <c r="AQ54" t="s">
        <v>1470</v>
      </c>
      <c r="AS54" t="s">
        <v>1470</v>
      </c>
      <c r="AT54" t="s">
        <v>1470</v>
      </c>
      <c r="AU54" t="s">
        <v>886</v>
      </c>
      <c r="AW54" t="s">
        <v>1471</v>
      </c>
      <c r="AX54" t="s">
        <v>1233</v>
      </c>
      <c r="AZ54" t="s">
        <v>1451</v>
      </c>
      <c r="BA54" t="s">
        <v>1274</v>
      </c>
      <c r="BK54" t="s">
        <v>1134</v>
      </c>
      <c r="BL54">
        <v>899</v>
      </c>
      <c r="BM54">
        <v>63.7</v>
      </c>
      <c r="BN54">
        <v>10332.5</v>
      </c>
      <c r="BO54">
        <v>21817.95</v>
      </c>
      <c r="BP54">
        <v>21817.95</v>
      </c>
      <c r="BQ54">
        <v>24706.93</v>
      </c>
      <c r="BR54">
        <v>2888.99</v>
      </c>
      <c r="BS54" t="s">
        <v>892</v>
      </c>
      <c r="BT54">
        <v>2886</v>
      </c>
      <c r="BV54" t="s">
        <v>1472</v>
      </c>
      <c r="BW54" t="s">
        <v>1473</v>
      </c>
      <c r="BX54" t="s">
        <v>1007</v>
      </c>
      <c r="BY54" t="s">
        <v>1461</v>
      </c>
      <c r="CD54" t="s">
        <v>1474</v>
      </c>
      <c r="CG54" t="s">
        <v>1475</v>
      </c>
      <c r="CH54" t="s">
        <v>994</v>
      </c>
      <c r="CI54" t="s">
        <v>1475</v>
      </c>
      <c r="CJ54" t="s">
        <v>1475</v>
      </c>
      <c r="CP54" t="s">
        <v>921</v>
      </c>
      <c r="CT54" t="s">
        <v>901</v>
      </c>
    </row>
    <row r="55" spans="1:98" x14ac:dyDescent="0.15">
      <c r="A55" t="s">
        <v>861</v>
      </c>
      <c r="B55" t="s">
        <v>862</v>
      </c>
      <c r="C55" t="s">
        <v>675</v>
      </c>
      <c r="D55" t="s">
        <v>675</v>
      </c>
      <c r="E55" t="s">
        <v>675</v>
      </c>
      <c r="F55" t="s">
        <v>863</v>
      </c>
      <c r="G55" t="s">
        <v>864</v>
      </c>
      <c r="H55" t="s">
        <v>863</v>
      </c>
      <c r="I55" t="s">
        <v>674</v>
      </c>
      <c r="J55" t="s">
        <v>1476</v>
      </c>
      <c r="K55" t="s">
        <v>977</v>
      </c>
      <c r="L55" t="s">
        <v>868</v>
      </c>
      <c r="N55" t="s">
        <v>861</v>
      </c>
      <c r="O55">
        <v>0</v>
      </c>
      <c r="P55" t="s">
        <v>960</v>
      </c>
      <c r="Q55" t="s">
        <v>125</v>
      </c>
      <c r="R55" t="s">
        <v>1123</v>
      </c>
      <c r="S55" t="s">
        <v>871</v>
      </c>
      <c r="T55" t="s">
        <v>1152</v>
      </c>
      <c r="U55" t="s">
        <v>1152</v>
      </c>
      <c r="V55" t="s">
        <v>900</v>
      </c>
      <c r="Y55" t="s">
        <v>874</v>
      </c>
      <c r="Z55" t="s">
        <v>861</v>
      </c>
      <c r="AA55" t="s">
        <v>958</v>
      </c>
      <c r="AB55" t="s">
        <v>1477</v>
      </c>
      <c r="AJ55" t="s">
        <v>861</v>
      </c>
      <c r="AK55" t="s">
        <v>880</v>
      </c>
      <c r="AL55" t="s">
        <v>913</v>
      </c>
      <c r="AM55" t="s">
        <v>882</v>
      </c>
      <c r="AP55" t="s">
        <v>965</v>
      </c>
      <c r="AQ55" t="s">
        <v>1470</v>
      </c>
      <c r="AS55" t="s">
        <v>1470</v>
      </c>
      <c r="AT55" t="s">
        <v>1470</v>
      </c>
      <c r="AU55" t="s">
        <v>886</v>
      </c>
      <c r="AW55" t="s">
        <v>1471</v>
      </c>
      <c r="AX55" t="s">
        <v>1233</v>
      </c>
      <c r="AZ55" t="s">
        <v>1451</v>
      </c>
      <c r="BA55" t="s">
        <v>1274</v>
      </c>
      <c r="BK55" t="s">
        <v>1134</v>
      </c>
      <c r="BL55">
        <v>380</v>
      </c>
      <c r="BM55">
        <v>65.489999999999995</v>
      </c>
      <c r="BN55">
        <v>3564</v>
      </c>
      <c r="BO55">
        <v>9869.4</v>
      </c>
      <c r="BP55">
        <v>9869.4</v>
      </c>
      <c r="BQ55">
        <v>12756.95</v>
      </c>
      <c r="BR55">
        <v>2887.54</v>
      </c>
      <c r="BS55" t="s">
        <v>892</v>
      </c>
      <c r="BT55">
        <v>2886</v>
      </c>
      <c r="BV55" t="s">
        <v>1472</v>
      </c>
      <c r="BW55" t="s">
        <v>1473</v>
      </c>
      <c r="BX55" t="s">
        <v>1007</v>
      </c>
      <c r="BY55" t="s">
        <v>1478</v>
      </c>
      <c r="CD55" t="s">
        <v>1474</v>
      </c>
      <c r="CG55" t="s">
        <v>1479</v>
      </c>
      <c r="CH55" t="s">
        <v>994</v>
      </c>
      <c r="CI55" t="s">
        <v>1479</v>
      </c>
      <c r="CJ55" t="s">
        <v>1479</v>
      </c>
      <c r="CP55" t="s">
        <v>921</v>
      </c>
      <c r="CT55" t="s">
        <v>901</v>
      </c>
    </row>
    <row r="56" spans="1:98" x14ac:dyDescent="0.15">
      <c r="A56" t="s">
        <v>861</v>
      </c>
      <c r="B56" t="s">
        <v>862</v>
      </c>
      <c r="C56" t="s">
        <v>178</v>
      </c>
      <c r="D56" t="s">
        <v>178</v>
      </c>
      <c r="E56" t="s">
        <v>178</v>
      </c>
      <c r="F56" t="s">
        <v>863</v>
      </c>
      <c r="G56" t="s">
        <v>864</v>
      </c>
      <c r="H56" t="s">
        <v>1026</v>
      </c>
      <c r="I56" t="s">
        <v>177</v>
      </c>
      <c r="J56" t="s">
        <v>1480</v>
      </c>
      <c r="K56" t="s">
        <v>1481</v>
      </c>
      <c r="L56" t="s">
        <v>868</v>
      </c>
      <c r="N56" t="s">
        <v>861</v>
      </c>
      <c r="O56">
        <v>0</v>
      </c>
      <c r="P56" t="s">
        <v>869</v>
      </c>
      <c r="Q56" t="s">
        <v>15</v>
      </c>
      <c r="R56" t="s">
        <v>870</v>
      </c>
      <c r="S56" t="s">
        <v>954</v>
      </c>
      <c r="T56" t="s">
        <v>1482</v>
      </c>
      <c r="U56" t="s">
        <v>1482</v>
      </c>
      <c r="V56" t="s">
        <v>1029</v>
      </c>
      <c r="W56" t="s">
        <v>1248</v>
      </c>
      <c r="Y56" t="s">
        <v>874</v>
      </c>
      <c r="Z56" t="s">
        <v>861</v>
      </c>
      <c r="AA56" t="s">
        <v>958</v>
      </c>
      <c r="AB56" t="s">
        <v>1483</v>
      </c>
      <c r="AD56" t="s">
        <v>1484</v>
      </c>
      <c r="AF56" t="s">
        <v>1485</v>
      </c>
      <c r="AG56" t="s">
        <v>1486</v>
      </c>
      <c r="AH56" t="s">
        <v>964</v>
      </c>
      <c r="AI56" t="s">
        <v>999</v>
      </c>
      <c r="AJ56" t="s">
        <v>861</v>
      </c>
      <c r="AK56" t="s">
        <v>880</v>
      </c>
      <c r="AL56" t="s">
        <v>966</v>
      </c>
      <c r="AM56" t="s">
        <v>967</v>
      </c>
      <c r="AN56" t="s">
        <v>967</v>
      </c>
      <c r="AO56" t="s">
        <v>1487</v>
      </c>
      <c r="AP56" t="s">
        <v>999</v>
      </c>
      <c r="AQ56" t="s">
        <v>1083</v>
      </c>
      <c r="AR56" t="s">
        <v>1488</v>
      </c>
      <c r="AS56" t="s">
        <v>1083</v>
      </c>
      <c r="AT56" t="s">
        <v>1083</v>
      </c>
      <c r="AU56" t="s">
        <v>886</v>
      </c>
      <c r="AW56" t="s">
        <v>1489</v>
      </c>
      <c r="AX56" t="s">
        <v>1337</v>
      </c>
      <c r="AZ56" t="s">
        <v>1267</v>
      </c>
      <c r="BA56" t="s">
        <v>1252</v>
      </c>
      <c r="BB56" t="s">
        <v>1490</v>
      </c>
      <c r="BH56" t="s">
        <v>1491</v>
      </c>
      <c r="BK56" t="s">
        <v>1134</v>
      </c>
      <c r="BL56">
        <v>438</v>
      </c>
      <c r="BM56">
        <v>66.31</v>
      </c>
      <c r="BN56">
        <v>8510</v>
      </c>
      <c r="BO56">
        <v>23794.639999999999</v>
      </c>
      <c r="BP56">
        <v>23794.639999999999</v>
      </c>
      <c r="BQ56">
        <v>26624.85</v>
      </c>
      <c r="BR56">
        <v>2830.22</v>
      </c>
      <c r="BS56" t="s">
        <v>892</v>
      </c>
      <c r="BT56">
        <v>2853</v>
      </c>
      <c r="BV56" t="s">
        <v>1492</v>
      </c>
      <c r="BW56" t="s">
        <v>1493</v>
      </c>
      <c r="BX56" t="s">
        <v>895</v>
      </c>
      <c r="BY56" t="s">
        <v>1255</v>
      </c>
      <c r="CD56" t="s">
        <v>1494</v>
      </c>
      <c r="CG56" t="s">
        <v>1480</v>
      </c>
      <c r="CH56" t="s">
        <v>1495</v>
      </c>
      <c r="CI56" t="s">
        <v>1496</v>
      </c>
      <c r="CJ56" t="s">
        <v>1496</v>
      </c>
      <c r="CM56" t="s">
        <v>1044</v>
      </c>
      <c r="CN56" t="s">
        <v>1045</v>
      </c>
      <c r="CO56" t="s">
        <v>1497</v>
      </c>
      <c r="CP56" t="s">
        <v>1029</v>
      </c>
      <c r="CT56" t="s">
        <v>901</v>
      </c>
    </row>
    <row r="57" spans="1:98" x14ac:dyDescent="0.15">
      <c r="A57" t="s">
        <v>861</v>
      </c>
      <c r="B57" t="s">
        <v>862</v>
      </c>
      <c r="C57" t="s">
        <v>220</v>
      </c>
      <c r="D57" t="s">
        <v>220</v>
      </c>
      <c r="E57" t="s">
        <v>220</v>
      </c>
      <c r="F57" t="s">
        <v>863</v>
      </c>
      <c r="G57" t="s">
        <v>1025</v>
      </c>
      <c r="H57" t="s">
        <v>1026</v>
      </c>
      <c r="I57" t="s">
        <v>219</v>
      </c>
      <c r="J57" t="s">
        <v>1498</v>
      </c>
      <c r="K57" t="s">
        <v>1481</v>
      </c>
      <c r="L57" t="s">
        <v>868</v>
      </c>
      <c r="N57" t="s">
        <v>861</v>
      </c>
      <c r="O57">
        <v>0</v>
      </c>
      <c r="P57" t="s">
        <v>869</v>
      </c>
      <c r="Q57" t="s">
        <v>15</v>
      </c>
      <c r="R57" t="s">
        <v>870</v>
      </c>
      <c r="S57" t="s">
        <v>954</v>
      </c>
      <c r="T57" t="s">
        <v>1499</v>
      </c>
      <c r="U57" t="s">
        <v>1499</v>
      </c>
      <c r="V57" t="s">
        <v>1048</v>
      </c>
      <c r="W57" t="s">
        <v>1500</v>
      </c>
      <c r="Y57" t="s">
        <v>874</v>
      </c>
      <c r="Z57" t="s">
        <v>861</v>
      </c>
      <c r="AA57" t="s">
        <v>875</v>
      </c>
      <c r="AF57" t="s">
        <v>1501</v>
      </c>
      <c r="AG57" t="s">
        <v>1502</v>
      </c>
      <c r="AH57" t="s">
        <v>964</v>
      </c>
      <c r="AI57" t="s">
        <v>1226</v>
      </c>
      <c r="AJ57" t="s">
        <v>861</v>
      </c>
      <c r="AK57" t="s">
        <v>880</v>
      </c>
      <c r="AL57" t="s">
        <v>1001</v>
      </c>
      <c r="AM57" t="s">
        <v>967</v>
      </c>
      <c r="AN57" t="s">
        <v>967</v>
      </c>
      <c r="AO57" t="s">
        <v>1503</v>
      </c>
      <c r="AP57" t="s">
        <v>1226</v>
      </c>
      <c r="AQ57" t="s">
        <v>1252</v>
      </c>
      <c r="AR57" t="s">
        <v>1504</v>
      </c>
      <c r="AS57" t="s">
        <v>1252</v>
      </c>
      <c r="AT57" t="s">
        <v>1252</v>
      </c>
      <c r="AU57" t="s">
        <v>886</v>
      </c>
      <c r="AW57" t="s">
        <v>999</v>
      </c>
      <c r="AX57" t="s">
        <v>1088</v>
      </c>
      <c r="AZ57" t="s">
        <v>883</v>
      </c>
      <c r="BA57" t="s">
        <v>1226</v>
      </c>
      <c r="BB57" t="s">
        <v>1505</v>
      </c>
      <c r="BH57" t="s">
        <v>1506</v>
      </c>
      <c r="BK57" t="s">
        <v>1134</v>
      </c>
      <c r="BL57">
        <v>194</v>
      </c>
      <c r="BM57">
        <v>71.430000000000007</v>
      </c>
      <c r="BN57">
        <v>22885</v>
      </c>
      <c r="BO57">
        <v>32290.28</v>
      </c>
      <c r="BP57">
        <v>32290.28</v>
      </c>
      <c r="BQ57">
        <v>35121.54</v>
      </c>
      <c r="BR57">
        <v>2831.25</v>
      </c>
      <c r="BS57" t="s">
        <v>892</v>
      </c>
      <c r="BT57">
        <v>2827</v>
      </c>
      <c r="BV57" t="s">
        <v>1507</v>
      </c>
      <c r="BW57" t="s">
        <v>1508</v>
      </c>
      <c r="BX57" t="s">
        <v>895</v>
      </c>
      <c r="BY57" t="s">
        <v>1194</v>
      </c>
      <c r="CD57" t="s">
        <v>1195</v>
      </c>
      <c r="CG57" t="s">
        <v>1498</v>
      </c>
      <c r="CH57" t="s">
        <v>1495</v>
      </c>
      <c r="CI57" t="s">
        <v>1509</v>
      </c>
      <c r="CJ57" t="s">
        <v>1509</v>
      </c>
      <c r="CM57" t="s">
        <v>1044</v>
      </c>
      <c r="CN57" t="s">
        <v>1045</v>
      </c>
      <c r="CO57" t="s">
        <v>1510</v>
      </c>
      <c r="CP57" t="s">
        <v>1272</v>
      </c>
      <c r="CT57" t="s">
        <v>901</v>
      </c>
    </row>
    <row r="58" spans="1:98" x14ac:dyDescent="0.15">
      <c r="A58" t="s">
        <v>861</v>
      </c>
      <c r="B58" t="s">
        <v>862</v>
      </c>
      <c r="C58" t="s">
        <v>216</v>
      </c>
      <c r="D58" t="s">
        <v>216</v>
      </c>
      <c r="E58" t="s">
        <v>216</v>
      </c>
      <c r="F58" t="s">
        <v>863</v>
      </c>
      <c r="G58" t="s">
        <v>1025</v>
      </c>
      <c r="H58" t="s">
        <v>865</v>
      </c>
      <c r="I58" t="s">
        <v>215</v>
      </c>
      <c r="J58" t="s">
        <v>1511</v>
      </c>
      <c r="K58" t="s">
        <v>1481</v>
      </c>
      <c r="L58" t="s">
        <v>868</v>
      </c>
      <c r="N58" t="s">
        <v>861</v>
      </c>
      <c r="O58">
        <v>0</v>
      </c>
      <c r="P58" t="s">
        <v>869</v>
      </c>
      <c r="Q58" t="s">
        <v>15</v>
      </c>
      <c r="R58" t="s">
        <v>870</v>
      </c>
      <c r="S58" t="s">
        <v>954</v>
      </c>
      <c r="T58" t="s">
        <v>1499</v>
      </c>
      <c r="U58" t="s">
        <v>1499</v>
      </c>
      <c r="V58" t="s">
        <v>1272</v>
      </c>
      <c r="W58" t="s">
        <v>1500</v>
      </c>
      <c r="Y58" t="s">
        <v>874</v>
      </c>
      <c r="Z58" t="s">
        <v>861</v>
      </c>
      <c r="AA58" t="s">
        <v>875</v>
      </c>
      <c r="AF58" t="s">
        <v>1501</v>
      </c>
      <c r="AG58" t="s">
        <v>1512</v>
      </c>
      <c r="AH58" t="s">
        <v>964</v>
      </c>
      <c r="AI58" t="s">
        <v>1513</v>
      </c>
      <c r="AJ58" t="s">
        <v>861</v>
      </c>
      <c r="AK58" t="s">
        <v>880</v>
      </c>
      <c r="AL58" t="s">
        <v>966</v>
      </c>
      <c r="AM58" t="s">
        <v>967</v>
      </c>
      <c r="AP58" t="s">
        <v>1513</v>
      </c>
      <c r="AQ58" t="s">
        <v>1252</v>
      </c>
      <c r="AR58" t="s">
        <v>1514</v>
      </c>
      <c r="AS58" t="s">
        <v>1252</v>
      </c>
      <c r="AT58" t="s">
        <v>1252</v>
      </c>
      <c r="AU58" t="s">
        <v>886</v>
      </c>
      <c r="AW58" t="s">
        <v>999</v>
      </c>
      <c r="AX58" t="s">
        <v>1264</v>
      </c>
      <c r="AZ58" t="s">
        <v>1004</v>
      </c>
      <c r="BA58" t="s">
        <v>957</v>
      </c>
      <c r="BK58" t="s">
        <v>1134</v>
      </c>
      <c r="BL58">
        <v>501</v>
      </c>
      <c r="BM58">
        <v>62.73</v>
      </c>
      <c r="BN58">
        <v>9597</v>
      </c>
      <c r="BO58">
        <v>19871.349999999999</v>
      </c>
      <c r="BP58">
        <v>19871.349999999999</v>
      </c>
      <c r="BQ58">
        <v>22701.07</v>
      </c>
      <c r="BR58">
        <v>2829.75</v>
      </c>
      <c r="BS58" t="s">
        <v>892</v>
      </c>
      <c r="BT58">
        <v>2827</v>
      </c>
      <c r="BV58" t="s">
        <v>1507</v>
      </c>
      <c r="BW58" t="s">
        <v>1508</v>
      </c>
      <c r="BX58" t="s">
        <v>895</v>
      </c>
      <c r="BY58" t="s">
        <v>1194</v>
      </c>
      <c r="CD58" t="s">
        <v>1515</v>
      </c>
      <c r="CG58" t="s">
        <v>1511</v>
      </c>
      <c r="CH58" t="s">
        <v>1495</v>
      </c>
      <c r="CI58" t="s">
        <v>1516</v>
      </c>
      <c r="CJ58" t="s">
        <v>1516</v>
      </c>
      <c r="CP58" t="s">
        <v>1272</v>
      </c>
      <c r="CT58" t="s">
        <v>901</v>
      </c>
    </row>
    <row r="59" spans="1:98" x14ac:dyDescent="0.15">
      <c r="A59" t="s">
        <v>861</v>
      </c>
      <c r="B59" t="s">
        <v>862</v>
      </c>
      <c r="C59" t="s">
        <v>226</v>
      </c>
      <c r="D59" t="s">
        <v>226</v>
      </c>
      <c r="E59" t="s">
        <v>226</v>
      </c>
      <c r="F59" t="s">
        <v>863</v>
      </c>
      <c r="G59" t="s">
        <v>1025</v>
      </c>
      <c r="H59" t="s">
        <v>1026</v>
      </c>
      <c r="I59" t="s">
        <v>225</v>
      </c>
      <c r="J59" t="s">
        <v>1517</v>
      </c>
      <c r="K59" t="s">
        <v>1481</v>
      </c>
      <c r="L59" t="s">
        <v>868</v>
      </c>
      <c r="N59" t="s">
        <v>861</v>
      </c>
      <c r="O59">
        <v>0</v>
      </c>
      <c r="P59" t="s">
        <v>869</v>
      </c>
      <c r="Q59" t="s">
        <v>15</v>
      </c>
      <c r="R59" t="s">
        <v>870</v>
      </c>
      <c r="S59" t="s">
        <v>954</v>
      </c>
      <c r="T59" t="s">
        <v>1499</v>
      </c>
      <c r="U59" t="s">
        <v>1499</v>
      </c>
      <c r="V59" t="s">
        <v>1048</v>
      </c>
      <c r="W59" t="s">
        <v>1500</v>
      </c>
      <c r="Y59" t="s">
        <v>874</v>
      </c>
      <c r="Z59" t="s">
        <v>861</v>
      </c>
      <c r="AA59" t="s">
        <v>875</v>
      </c>
      <c r="AF59" t="s">
        <v>1501</v>
      </c>
      <c r="AG59" t="s">
        <v>1518</v>
      </c>
      <c r="AH59" t="s">
        <v>964</v>
      </c>
      <c r="AI59" t="s">
        <v>1226</v>
      </c>
      <c r="AJ59" t="s">
        <v>861</v>
      </c>
      <c r="AK59" t="s">
        <v>880</v>
      </c>
      <c r="AL59" t="s">
        <v>1001</v>
      </c>
      <c r="AM59" t="s">
        <v>967</v>
      </c>
      <c r="AN59" t="s">
        <v>967</v>
      </c>
      <c r="AO59" t="s">
        <v>1519</v>
      </c>
      <c r="AP59" t="s">
        <v>1226</v>
      </c>
      <c r="AQ59" t="s">
        <v>1252</v>
      </c>
      <c r="AR59" t="s">
        <v>1504</v>
      </c>
      <c r="AS59" t="s">
        <v>1252</v>
      </c>
      <c r="AT59" t="s">
        <v>1252</v>
      </c>
      <c r="AU59" t="s">
        <v>886</v>
      </c>
      <c r="AW59" t="s">
        <v>999</v>
      </c>
      <c r="AX59" t="s">
        <v>1088</v>
      </c>
      <c r="AZ59" t="s">
        <v>883</v>
      </c>
      <c r="BA59" t="s">
        <v>1226</v>
      </c>
      <c r="BB59" t="s">
        <v>1520</v>
      </c>
      <c r="BK59" t="s">
        <v>1134</v>
      </c>
      <c r="BL59">
        <v>500</v>
      </c>
      <c r="BM59">
        <v>67.709999999999994</v>
      </c>
      <c r="BN59">
        <v>14775</v>
      </c>
      <c r="BO59">
        <v>39532.199999999997</v>
      </c>
      <c r="BP59">
        <v>39532.199999999997</v>
      </c>
      <c r="BQ59">
        <v>42364.33</v>
      </c>
      <c r="BR59">
        <v>2832.13</v>
      </c>
      <c r="BS59" t="s">
        <v>892</v>
      </c>
      <c r="BT59">
        <v>2827</v>
      </c>
      <c r="BV59" t="s">
        <v>1507</v>
      </c>
      <c r="BW59" t="s">
        <v>1508</v>
      </c>
      <c r="BX59" t="s">
        <v>895</v>
      </c>
      <c r="BY59" t="s">
        <v>1194</v>
      </c>
      <c r="CD59" t="s">
        <v>1521</v>
      </c>
      <c r="CG59" t="s">
        <v>1517</v>
      </c>
      <c r="CH59" t="s">
        <v>1495</v>
      </c>
      <c r="CI59" t="s">
        <v>1522</v>
      </c>
      <c r="CJ59" t="s">
        <v>1522</v>
      </c>
      <c r="CM59" t="s">
        <v>1044</v>
      </c>
      <c r="CN59" t="s">
        <v>1045</v>
      </c>
      <c r="CO59" t="s">
        <v>1523</v>
      </c>
      <c r="CP59" t="s">
        <v>1272</v>
      </c>
      <c r="CT59" t="s">
        <v>901</v>
      </c>
    </row>
    <row r="60" spans="1:98" x14ac:dyDescent="0.15">
      <c r="A60" t="s">
        <v>861</v>
      </c>
      <c r="B60" t="s">
        <v>862</v>
      </c>
      <c r="C60" t="s">
        <v>673</v>
      </c>
      <c r="D60" t="s">
        <v>673</v>
      </c>
      <c r="E60" t="s">
        <v>673</v>
      </c>
      <c r="F60" t="s">
        <v>863</v>
      </c>
      <c r="G60" t="s">
        <v>864</v>
      </c>
      <c r="H60" t="s">
        <v>863</v>
      </c>
      <c r="I60" t="s">
        <v>672</v>
      </c>
      <c r="J60" t="s">
        <v>1524</v>
      </c>
      <c r="K60" t="s">
        <v>977</v>
      </c>
      <c r="L60" t="s">
        <v>868</v>
      </c>
      <c r="N60" t="s">
        <v>861</v>
      </c>
      <c r="O60">
        <v>0</v>
      </c>
      <c r="P60" t="s">
        <v>978</v>
      </c>
      <c r="Q60" t="s">
        <v>15</v>
      </c>
      <c r="R60" t="s">
        <v>919</v>
      </c>
      <c r="S60" t="s">
        <v>954</v>
      </c>
      <c r="T60" t="s">
        <v>1378</v>
      </c>
      <c r="U60" t="s">
        <v>1378</v>
      </c>
      <c r="V60" t="s">
        <v>1024</v>
      </c>
      <c r="W60" t="s">
        <v>1525</v>
      </c>
      <c r="Y60" t="s">
        <v>874</v>
      </c>
      <c r="Z60" t="s">
        <v>861</v>
      </c>
      <c r="AA60" t="s">
        <v>922</v>
      </c>
      <c r="AJ60" t="s">
        <v>861</v>
      </c>
      <c r="AK60" t="s">
        <v>880</v>
      </c>
      <c r="AL60" t="s">
        <v>966</v>
      </c>
      <c r="AM60" t="s">
        <v>967</v>
      </c>
      <c r="AP60" t="s">
        <v>965</v>
      </c>
      <c r="AQ60" t="s">
        <v>1526</v>
      </c>
      <c r="AS60" t="s">
        <v>1526</v>
      </c>
      <c r="AT60" t="s">
        <v>1526</v>
      </c>
      <c r="AU60" t="s">
        <v>886</v>
      </c>
      <c r="AW60" t="s">
        <v>968</v>
      </c>
      <c r="AX60" t="s">
        <v>965</v>
      </c>
      <c r="AZ60" t="s">
        <v>1527</v>
      </c>
      <c r="BA60" t="s">
        <v>969</v>
      </c>
      <c r="BK60" t="s">
        <v>891</v>
      </c>
      <c r="BL60">
        <v>772</v>
      </c>
      <c r="BM60">
        <v>65.55</v>
      </c>
      <c r="BN60">
        <v>8073.1</v>
      </c>
      <c r="BO60">
        <v>28254.81</v>
      </c>
      <c r="BP60">
        <v>28254.81</v>
      </c>
      <c r="BQ60">
        <v>28254.81</v>
      </c>
      <c r="BR60">
        <v>0</v>
      </c>
      <c r="BS60" t="s">
        <v>892</v>
      </c>
      <c r="BT60">
        <v>2906</v>
      </c>
      <c r="BV60" t="s">
        <v>1528</v>
      </c>
      <c r="BW60" t="s">
        <v>1529</v>
      </c>
      <c r="BX60" t="s">
        <v>1530</v>
      </c>
      <c r="BY60" t="s">
        <v>1281</v>
      </c>
      <c r="CD60" t="s">
        <v>1531</v>
      </c>
      <c r="CG60" t="s">
        <v>1532</v>
      </c>
      <c r="CH60" t="s">
        <v>994</v>
      </c>
      <c r="CI60" t="s">
        <v>1532</v>
      </c>
      <c r="CJ60" t="s">
        <v>1532</v>
      </c>
      <c r="CP60" t="s">
        <v>1533</v>
      </c>
      <c r="CT60" t="s">
        <v>901</v>
      </c>
    </row>
    <row r="61" spans="1:98" x14ac:dyDescent="0.15">
      <c r="A61" t="s">
        <v>861</v>
      </c>
      <c r="B61" t="s">
        <v>862</v>
      </c>
      <c r="C61" t="s">
        <v>292</v>
      </c>
      <c r="D61" t="s">
        <v>292</v>
      </c>
      <c r="E61" t="s">
        <v>292</v>
      </c>
      <c r="F61" t="s">
        <v>863</v>
      </c>
      <c r="G61" t="s">
        <v>864</v>
      </c>
      <c r="H61" t="s">
        <v>865</v>
      </c>
      <c r="I61" t="s">
        <v>291</v>
      </c>
      <c r="J61" t="s">
        <v>1534</v>
      </c>
      <c r="K61" t="s">
        <v>867</v>
      </c>
      <c r="L61" t="s">
        <v>868</v>
      </c>
      <c r="N61" t="s">
        <v>861</v>
      </c>
      <c r="O61">
        <v>0</v>
      </c>
      <c r="P61" t="s">
        <v>978</v>
      </c>
      <c r="Q61" t="s">
        <v>15</v>
      </c>
      <c r="R61" t="s">
        <v>919</v>
      </c>
      <c r="S61" t="s">
        <v>954</v>
      </c>
      <c r="T61" t="s">
        <v>1535</v>
      </c>
      <c r="U61" t="s">
        <v>1535</v>
      </c>
      <c r="V61" t="s">
        <v>921</v>
      </c>
      <c r="W61" t="s">
        <v>1337</v>
      </c>
      <c r="Y61" t="s">
        <v>910</v>
      </c>
      <c r="Z61" t="s">
        <v>861</v>
      </c>
      <c r="AA61" t="s">
        <v>958</v>
      </c>
      <c r="AB61" t="s">
        <v>1536</v>
      </c>
      <c r="AD61" t="s">
        <v>923</v>
      </c>
      <c r="AE61" t="s">
        <v>1537</v>
      </c>
      <c r="AF61" t="s">
        <v>1538</v>
      </c>
      <c r="AG61" t="s">
        <v>1539</v>
      </c>
      <c r="AH61" t="s">
        <v>964</v>
      </c>
      <c r="AI61" t="s">
        <v>883</v>
      </c>
      <c r="AJ61" t="s">
        <v>861</v>
      </c>
      <c r="AK61" t="s">
        <v>880</v>
      </c>
      <c r="AL61" t="s">
        <v>966</v>
      </c>
      <c r="AM61" t="s">
        <v>967</v>
      </c>
      <c r="AP61" t="s">
        <v>883</v>
      </c>
      <c r="AQ61" t="s">
        <v>957</v>
      </c>
      <c r="AR61" t="s">
        <v>1540</v>
      </c>
      <c r="AS61" t="s">
        <v>957</v>
      </c>
      <c r="AT61" t="s">
        <v>957</v>
      </c>
      <c r="AU61" t="s">
        <v>886</v>
      </c>
      <c r="AW61" t="s">
        <v>1267</v>
      </c>
      <c r="AX61" t="s">
        <v>883</v>
      </c>
      <c r="AZ61" t="s">
        <v>969</v>
      </c>
      <c r="BA61" t="s">
        <v>1004</v>
      </c>
      <c r="BK61" t="s">
        <v>891</v>
      </c>
      <c r="BL61">
        <v>962</v>
      </c>
      <c r="BM61">
        <v>66.53</v>
      </c>
      <c r="BN61">
        <v>6134.65</v>
      </c>
      <c r="BO61">
        <v>24407.45</v>
      </c>
      <c r="BP61">
        <v>24407.45</v>
      </c>
      <c r="BQ61">
        <v>24407.45</v>
      </c>
      <c r="BR61">
        <v>0</v>
      </c>
      <c r="BS61" t="s">
        <v>892</v>
      </c>
      <c r="BT61">
        <v>2639</v>
      </c>
      <c r="BV61" t="s">
        <v>1541</v>
      </c>
      <c r="BW61" t="s">
        <v>894</v>
      </c>
      <c r="BX61" t="s">
        <v>895</v>
      </c>
      <c r="BY61" t="s">
        <v>1542</v>
      </c>
      <c r="CD61" t="s">
        <v>1543</v>
      </c>
      <c r="CG61" t="s">
        <v>1534</v>
      </c>
      <c r="CH61" t="s">
        <v>898</v>
      </c>
      <c r="CI61" t="s">
        <v>1544</v>
      </c>
      <c r="CJ61" t="s">
        <v>1544</v>
      </c>
      <c r="CP61" t="s">
        <v>1545</v>
      </c>
      <c r="CT61" t="s">
        <v>901</v>
      </c>
    </row>
    <row r="62" spans="1:98" x14ac:dyDescent="0.15">
      <c r="A62" t="s">
        <v>861</v>
      </c>
      <c r="B62" t="s">
        <v>862</v>
      </c>
      <c r="C62" t="s">
        <v>300</v>
      </c>
      <c r="D62" t="s">
        <v>300</v>
      </c>
      <c r="E62" t="s">
        <v>300</v>
      </c>
      <c r="F62" t="s">
        <v>863</v>
      </c>
      <c r="G62" t="s">
        <v>1025</v>
      </c>
      <c r="H62" t="s">
        <v>865</v>
      </c>
      <c r="I62" t="s">
        <v>297</v>
      </c>
      <c r="J62" t="s">
        <v>1546</v>
      </c>
      <c r="K62" t="s">
        <v>867</v>
      </c>
      <c r="L62" t="s">
        <v>868</v>
      </c>
      <c r="N62" t="s">
        <v>861</v>
      </c>
      <c r="O62">
        <v>0</v>
      </c>
      <c r="P62" t="s">
        <v>952</v>
      </c>
      <c r="Q62" t="s">
        <v>15</v>
      </c>
      <c r="R62" t="s">
        <v>953</v>
      </c>
      <c r="S62" t="s">
        <v>954</v>
      </c>
      <c r="T62" t="s">
        <v>1547</v>
      </c>
      <c r="U62" t="s">
        <v>1547</v>
      </c>
      <c r="V62" t="s">
        <v>1181</v>
      </c>
      <c r="W62" t="s">
        <v>1101</v>
      </c>
      <c r="Y62" t="s">
        <v>874</v>
      </c>
      <c r="Z62" t="s">
        <v>861</v>
      </c>
      <c r="AA62" t="s">
        <v>958</v>
      </c>
      <c r="AB62" t="s">
        <v>1321</v>
      </c>
      <c r="AD62" t="s">
        <v>1548</v>
      </c>
      <c r="AF62" t="s">
        <v>1549</v>
      </c>
      <c r="AG62" t="s">
        <v>1550</v>
      </c>
      <c r="AH62" t="s">
        <v>964</v>
      </c>
      <c r="AI62" t="s">
        <v>1267</v>
      </c>
      <c r="AJ62" t="s">
        <v>861</v>
      </c>
      <c r="AK62" t="s">
        <v>880</v>
      </c>
      <c r="AL62" t="s">
        <v>1001</v>
      </c>
      <c r="AM62" t="s">
        <v>967</v>
      </c>
      <c r="AP62" t="s">
        <v>1267</v>
      </c>
      <c r="AQ62" t="s">
        <v>1226</v>
      </c>
      <c r="AR62" t="s">
        <v>1551</v>
      </c>
      <c r="AS62" t="s">
        <v>1226</v>
      </c>
      <c r="AT62" t="s">
        <v>1226</v>
      </c>
      <c r="AU62" t="s">
        <v>886</v>
      </c>
      <c r="AW62" t="s">
        <v>1513</v>
      </c>
      <c r="AX62" t="s">
        <v>883</v>
      </c>
      <c r="AZ62" t="s">
        <v>942</v>
      </c>
      <c r="BA62" t="s">
        <v>1004</v>
      </c>
      <c r="BK62" t="s">
        <v>891</v>
      </c>
      <c r="BL62">
        <v>526</v>
      </c>
      <c r="BM62">
        <v>64.510000000000005</v>
      </c>
      <c r="BN62">
        <v>8718</v>
      </c>
      <c r="BO62">
        <v>22923.599999999999</v>
      </c>
      <c r="BP62">
        <v>22923.599999999999</v>
      </c>
      <c r="BQ62">
        <v>22923.599999999999</v>
      </c>
      <c r="BR62">
        <v>0</v>
      </c>
      <c r="BS62" t="s">
        <v>892</v>
      </c>
      <c r="BT62">
        <v>2529</v>
      </c>
      <c r="BV62" t="s">
        <v>1552</v>
      </c>
      <c r="BW62" t="s">
        <v>1093</v>
      </c>
      <c r="BX62" t="s">
        <v>895</v>
      </c>
      <c r="BY62" t="s">
        <v>1308</v>
      </c>
      <c r="CG62" t="s">
        <v>1546</v>
      </c>
      <c r="CH62" t="s">
        <v>898</v>
      </c>
      <c r="CI62" t="s">
        <v>1553</v>
      </c>
      <c r="CJ62" t="s">
        <v>1553</v>
      </c>
      <c r="CP62" t="s">
        <v>1181</v>
      </c>
      <c r="CT62" t="s">
        <v>975</v>
      </c>
    </row>
    <row r="63" spans="1:98" x14ac:dyDescent="0.15">
      <c r="A63" t="s">
        <v>861</v>
      </c>
      <c r="B63" t="s">
        <v>862</v>
      </c>
      <c r="C63" t="s">
        <v>401</v>
      </c>
      <c r="D63" t="s">
        <v>401</v>
      </c>
      <c r="E63" t="s">
        <v>401</v>
      </c>
      <c r="F63" t="s">
        <v>863</v>
      </c>
      <c r="G63" t="s">
        <v>1025</v>
      </c>
      <c r="H63" t="s">
        <v>865</v>
      </c>
      <c r="I63" t="s">
        <v>400</v>
      </c>
      <c r="J63" t="s">
        <v>1554</v>
      </c>
      <c r="K63" t="s">
        <v>867</v>
      </c>
      <c r="L63" t="s">
        <v>868</v>
      </c>
      <c r="M63" t="s">
        <v>1555</v>
      </c>
      <c r="N63" t="s">
        <v>861</v>
      </c>
      <c r="O63">
        <v>0</v>
      </c>
      <c r="P63" t="s">
        <v>952</v>
      </c>
      <c r="Q63" t="s">
        <v>11</v>
      </c>
      <c r="R63" t="s">
        <v>1556</v>
      </c>
      <c r="S63" t="s">
        <v>871</v>
      </c>
      <c r="T63" t="s">
        <v>1557</v>
      </c>
      <c r="U63" t="s">
        <v>1557</v>
      </c>
      <c r="V63" t="s">
        <v>921</v>
      </c>
      <c r="Y63" t="s">
        <v>874</v>
      </c>
      <c r="Z63" t="s">
        <v>861</v>
      </c>
      <c r="AA63" t="s">
        <v>958</v>
      </c>
      <c r="AB63" t="s">
        <v>1558</v>
      </c>
      <c r="AF63" t="s">
        <v>1559</v>
      </c>
      <c r="AG63" t="s">
        <v>1560</v>
      </c>
      <c r="AH63" t="s">
        <v>878</v>
      </c>
      <c r="AJ63" t="s">
        <v>861</v>
      </c>
      <c r="AK63" t="s">
        <v>880</v>
      </c>
      <c r="AL63" t="s">
        <v>881</v>
      </c>
      <c r="AM63" t="s">
        <v>882</v>
      </c>
      <c r="AN63" t="s">
        <v>882</v>
      </c>
      <c r="AO63" t="s">
        <v>1561</v>
      </c>
      <c r="AP63" t="s">
        <v>1088</v>
      </c>
      <c r="AQ63" t="s">
        <v>1562</v>
      </c>
      <c r="AR63" t="s">
        <v>1562</v>
      </c>
      <c r="AS63" t="s">
        <v>1562</v>
      </c>
      <c r="AT63" t="s">
        <v>1562</v>
      </c>
      <c r="AU63" t="s">
        <v>886</v>
      </c>
      <c r="AW63" t="s">
        <v>1563</v>
      </c>
      <c r="AX63" t="s">
        <v>1418</v>
      </c>
      <c r="AZ63" t="s">
        <v>1526</v>
      </c>
      <c r="BA63" t="s">
        <v>888</v>
      </c>
      <c r="BK63" t="s">
        <v>891</v>
      </c>
      <c r="BL63">
        <v>534</v>
      </c>
      <c r="BM63">
        <v>65.3</v>
      </c>
      <c r="BN63">
        <v>8822</v>
      </c>
      <c r="BO63">
        <v>23160.400000000001</v>
      </c>
      <c r="BP63">
        <v>23160.400000000001</v>
      </c>
      <c r="BQ63">
        <v>23160.400000000001</v>
      </c>
      <c r="BR63">
        <v>0</v>
      </c>
      <c r="BS63" t="s">
        <v>892</v>
      </c>
      <c r="BT63">
        <v>2665</v>
      </c>
      <c r="BV63" t="s">
        <v>1564</v>
      </c>
      <c r="BW63" t="s">
        <v>894</v>
      </c>
      <c r="BX63" t="s">
        <v>895</v>
      </c>
      <c r="BY63" t="s">
        <v>1137</v>
      </c>
      <c r="CG63" t="s">
        <v>1554</v>
      </c>
      <c r="CH63" t="s">
        <v>898</v>
      </c>
      <c r="CI63" t="s">
        <v>1565</v>
      </c>
      <c r="CJ63" t="s">
        <v>1565</v>
      </c>
      <c r="CM63" t="s">
        <v>1044</v>
      </c>
      <c r="CN63" t="s">
        <v>1045</v>
      </c>
      <c r="CO63" t="s">
        <v>1566</v>
      </c>
      <c r="CP63" t="s">
        <v>921</v>
      </c>
      <c r="CT63" t="s">
        <v>975</v>
      </c>
    </row>
    <row r="64" spans="1:98" x14ac:dyDescent="0.15">
      <c r="A64" t="s">
        <v>861</v>
      </c>
      <c r="B64" t="s">
        <v>862</v>
      </c>
      <c r="C64" t="s">
        <v>533</v>
      </c>
      <c r="D64" t="s">
        <v>533</v>
      </c>
      <c r="E64" t="s">
        <v>533</v>
      </c>
      <c r="F64" t="s">
        <v>863</v>
      </c>
      <c r="G64" t="s">
        <v>864</v>
      </c>
      <c r="H64" t="s">
        <v>916</v>
      </c>
      <c r="I64" t="s">
        <v>532</v>
      </c>
      <c r="J64" t="s">
        <v>1567</v>
      </c>
      <c r="K64" t="s">
        <v>867</v>
      </c>
      <c r="L64" t="s">
        <v>868</v>
      </c>
      <c r="N64" t="s">
        <v>1259</v>
      </c>
      <c r="O64">
        <v>0</v>
      </c>
      <c r="P64" t="s">
        <v>1159</v>
      </c>
      <c r="Q64" t="s">
        <v>15</v>
      </c>
      <c r="R64" t="s">
        <v>919</v>
      </c>
      <c r="S64" t="s">
        <v>954</v>
      </c>
      <c r="T64" t="s">
        <v>1414</v>
      </c>
      <c r="U64" t="s">
        <v>1414</v>
      </c>
      <c r="V64" t="s">
        <v>1029</v>
      </c>
      <c r="W64" t="s">
        <v>968</v>
      </c>
      <c r="Y64" t="s">
        <v>874</v>
      </c>
      <c r="Z64" t="s">
        <v>861</v>
      </c>
      <c r="AA64" t="s">
        <v>922</v>
      </c>
      <c r="AD64" t="s">
        <v>869</v>
      </c>
      <c r="AE64" t="s">
        <v>1568</v>
      </c>
      <c r="AJ64" t="s">
        <v>861</v>
      </c>
      <c r="AK64" t="s">
        <v>880</v>
      </c>
      <c r="AP64" t="s">
        <v>1003</v>
      </c>
      <c r="AZ64" t="s">
        <v>1266</v>
      </c>
      <c r="BK64" t="s">
        <v>891</v>
      </c>
      <c r="BL64">
        <v>747</v>
      </c>
      <c r="BM64">
        <v>68.349999999999994</v>
      </c>
      <c r="BN64">
        <v>10274</v>
      </c>
      <c r="BO64">
        <v>23191.29</v>
      </c>
      <c r="BP64">
        <v>23191.29</v>
      </c>
      <c r="BQ64">
        <v>23191.29</v>
      </c>
      <c r="BR64">
        <v>0</v>
      </c>
      <c r="BS64" t="s">
        <v>892</v>
      </c>
      <c r="BT64">
        <v>2529</v>
      </c>
      <c r="BV64" t="s">
        <v>1174</v>
      </c>
      <c r="BW64" t="s">
        <v>1175</v>
      </c>
      <c r="BX64" t="s">
        <v>895</v>
      </c>
      <c r="BY64" t="s">
        <v>1569</v>
      </c>
      <c r="CD64" t="s">
        <v>1570</v>
      </c>
      <c r="CG64" t="s">
        <v>1567</v>
      </c>
      <c r="CH64" t="s">
        <v>898</v>
      </c>
      <c r="CI64" t="s">
        <v>1571</v>
      </c>
      <c r="CJ64" t="s">
        <v>1571</v>
      </c>
      <c r="CP64" t="s">
        <v>1464</v>
      </c>
      <c r="CT64" t="s">
        <v>901</v>
      </c>
    </row>
    <row r="65" spans="1:98" x14ac:dyDescent="0.15">
      <c r="A65" t="s">
        <v>861</v>
      </c>
      <c r="B65" t="s">
        <v>862</v>
      </c>
      <c r="C65" t="s">
        <v>337</v>
      </c>
      <c r="D65" t="s">
        <v>337</v>
      </c>
      <c r="E65" t="s">
        <v>337</v>
      </c>
      <c r="F65" t="s">
        <v>863</v>
      </c>
      <c r="G65" t="s">
        <v>864</v>
      </c>
      <c r="H65" t="s">
        <v>865</v>
      </c>
      <c r="I65" t="s">
        <v>336</v>
      </c>
      <c r="J65" t="s">
        <v>1572</v>
      </c>
      <c r="K65" t="s">
        <v>977</v>
      </c>
      <c r="L65" t="s">
        <v>868</v>
      </c>
      <c r="N65" t="s">
        <v>861</v>
      </c>
      <c r="O65">
        <v>0</v>
      </c>
      <c r="P65" t="s">
        <v>869</v>
      </c>
      <c r="Q65" t="s">
        <v>36</v>
      </c>
      <c r="R65" t="s">
        <v>870</v>
      </c>
      <c r="S65" t="s">
        <v>979</v>
      </c>
      <c r="T65" t="s">
        <v>1573</v>
      </c>
      <c r="U65" t="s">
        <v>1573</v>
      </c>
      <c r="V65" t="s">
        <v>1234</v>
      </c>
      <c r="Y65" t="s">
        <v>874</v>
      </c>
      <c r="Z65" t="s">
        <v>861</v>
      </c>
      <c r="AA65" t="s">
        <v>958</v>
      </c>
      <c r="AB65" t="s">
        <v>1574</v>
      </c>
      <c r="AF65" t="s">
        <v>1575</v>
      </c>
      <c r="AG65" t="s">
        <v>1037</v>
      </c>
      <c r="AH65" t="s">
        <v>984</v>
      </c>
      <c r="AJ65" t="s">
        <v>861</v>
      </c>
      <c r="AK65" t="s">
        <v>880</v>
      </c>
      <c r="AL65" t="s">
        <v>913</v>
      </c>
      <c r="AM65" t="s">
        <v>986</v>
      </c>
      <c r="AN65" t="s">
        <v>986</v>
      </c>
      <c r="AO65" t="s">
        <v>1576</v>
      </c>
      <c r="AP65" t="s">
        <v>1264</v>
      </c>
      <c r="AQ65" t="s">
        <v>890</v>
      </c>
      <c r="AR65" t="s">
        <v>888</v>
      </c>
      <c r="AS65" t="s">
        <v>890</v>
      </c>
      <c r="AT65" t="s">
        <v>890</v>
      </c>
      <c r="AU65" t="s">
        <v>886</v>
      </c>
      <c r="AW65" t="s">
        <v>890</v>
      </c>
      <c r="AX65" t="s">
        <v>890</v>
      </c>
      <c r="AZ65" t="s">
        <v>1577</v>
      </c>
      <c r="BA65" t="s">
        <v>988</v>
      </c>
      <c r="BK65" t="s">
        <v>1134</v>
      </c>
      <c r="BL65">
        <v>707</v>
      </c>
      <c r="BM65">
        <v>66.569999999999993</v>
      </c>
      <c r="BN65">
        <v>7570</v>
      </c>
      <c r="BO65">
        <v>14160.57</v>
      </c>
      <c r="BP65">
        <v>14160.57</v>
      </c>
      <c r="BQ65">
        <v>15906.49</v>
      </c>
      <c r="BR65">
        <v>1745.92</v>
      </c>
      <c r="BS65" t="s">
        <v>892</v>
      </c>
      <c r="BT65">
        <v>1744</v>
      </c>
      <c r="BV65" t="s">
        <v>1578</v>
      </c>
      <c r="BW65" t="s">
        <v>1579</v>
      </c>
      <c r="BX65" t="s">
        <v>895</v>
      </c>
      <c r="BY65" t="s">
        <v>1580</v>
      </c>
      <c r="CD65" t="s">
        <v>1581</v>
      </c>
      <c r="CG65" t="s">
        <v>1582</v>
      </c>
      <c r="CH65" t="s">
        <v>994</v>
      </c>
      <c r="CI65" t="s">
        <v>1582</v>
      </c>
      <c r="CJ65" t="s">
        <v>1582</v>
      </c>
      <c r="CM65" t="s">
        <v>1044</v>
      </c>
      <c r="CN65" t="s">
        <v>1045</v>
      </c>
      <c r="CO65" t="s">
        <v>1583</v>
      </c>
      <c r="CP65" t="s">
        <v>1240</v>
      </c>
      <c r="CT65" t="s">
        <v>901</v>
      </c>
    </row>
    <row r="66" spans="1:98" x14ac:dyDescent="0.15">
      <c r="A66" t="s">
        <v>861</v>
      </c>
      <c r="B66" t="s">
        <v>862</v>
      </c>
      <c r="C66" t="s">
        <v>594</v>
      </c>
      <c r="D66" t="s">
        <v>594</v>
      </c>
      <c r="E66" t="s">
        <v>594</v>
      </c>
      <c r="F66" t="s">
        <v>863</v>
      </c>
      <c r="G66" t="s">
        <v>864</v>
      </c>
      <c r="H66" t="s">
        <v>863</v>
      </c>
      <c r="I66" t="s">
        <v>591</v>
      </c>
      <c r="J66" t="s">
        <v>1584</v>
      </c>
      <c r="K66" t="s">
        <v>867</v>
      </c>
      <c r="L66" t="s">
        <v>868</v>
      </c>
      <c r="N66" t="s">
        <v>861</v>
      </c>
      <c r="O66">
        <v>0</v>
      </c>
      <c r="P66" t="s">
        <v>1180</v>
      </c>
      <c r="Q66" t="s">
        <v>19</v>
      </c>
      <c r="R66" t="s">
        <v>919</v>
      </c>
      <c r="S66" t="s">
        <v>979</v>
      </c>
      <c r="T66" t="s">
        <v>1585</v>
      </c>
      <c r="U66" t="s">
        <v>1585</v>
      </c>
      <c r="V66" t="s">
        <v>981</v>
      </c>
      <c r="Y66" t="s">
        <v>874</v>
      </c>
      <c r="Z66" t="s">
        <v>861</v>
      </c>
      <c r="AA66" t="s">
        <v>958</v>
      </c>
      <c r="AB66" t="s">
        <v>1586</v>
      </c>
      <c r="AD66" t="s">
        <v>869</v>
      </c>
      <c r="AJ66" t="s">
        <v>861</v>
      </c>
      <c r="AK66" t="s">
        <v>880</v>
      </c>
      <c r="AL66" t="s">
        <v>913</v>
      </c>
      <c r="AM66" t="s">
        <v>986</v>
      </c>
      <c r="AP66" t="s">
        <v>969</v>
      </c>
      <c r="AQ66" t="s">
        <v>1233</v>
      </c>
      <c r="AS66" t="s">
        <v>1233</v>
      </c>
      <c r="AT66" t="s">
        <v>1233</v>
      </c>
      <c r="AU66" t="s">
        <v>886</v>
      </c>
      <c r="AW66" t="s">
        <v>1233</v>
      </c>
      <c r="AX66" t="s">
        <v>1233</v>
      </c>
      <c r="AZ66" t="s">
        <v>1527</v>
      </c>
      <c r="BA66" t="s">
        <v>1274</v>
      </c>
      <c r="BK66" t="s">
        <v>891</v>
      </c>
      <c r="BL66">
        <v>938</v>
      </c>
      <c r="BM66">
        <v>69.11</v>
      </c>
      <c r="BN66">
        <v>20048.900000000001</v>
      </c>
      <c r="BO66">
        <v>27020.57</v>
      </c>
      <c r="BP66">
        <v>27020.57</v>
      </c>
      <c r="BQ66">
        <v>27020.57</v>
      </c>
      <c r="BR66">
        <v>0</v>
      </c>
      <c r="BS66" t="s">
        <v>892</v>
      </c>
      <c r="BT66">
        <v>1829</v>
      </c>
      <c r="BV66" t="s">
        <v>1587</v>
      </c>
      <c r="BW66" t="s">
        <v>1588</v>
      </c>
      <c r="BX66" t="s">
        <v>895</v>
      </c>
      <c r="BY66" t="s">
        <v>1589</v>
      </c>
      <c r="CD66" t="s">
        <v>1590</v>
      </c>
      <c r="CG66" t="s">
        <v>1584</v>
      </c>
      <c r="CH66" t="s">
        <v>898</v>
      </c>
      <c r="CI66" t="s">
        <v>1591</v>
      </c>
      <c r="CJ66" t="s">
        <v>1591</v>
      </c>
      <c r="CP66" t="s">
        <v>1168</v>
      </c>
      <c r="CT66" t="s">
        <v>901</v>
      </c>
    </row>
    <row r="67" spans="1:98" x14ac:dyDescent="0.15">
      <c r="A67" t="s">
        <v>861</v>
      </c>
      <c r="B67" t="s">
        <v>862</v>
      </c>
      <c r="C67" t="s">
        <v>671</v>
      </c>
      <c r="D67" t="s">
        <v>671</v>
      </c>
      <c r="E67" t="s">
        <v>671</v>
      </c>
      <c r="F67" t="s">
        <v>863</v>
      </c>
      <c r="G67" t="s">
        <v>864</v>
      </c>
      <c r="H67" t="s">
        <v>863</v>
      </c>
      <c r="I67" t="s">
        <v>670</v>
      </c>
      <c r="J67" t="s">
        <v>1592</v>
      </c>
      <c r="K67" t="s">
        <v>867</v>
      </c>
      <c r="L67" t="s">
        <v>868</v>
      </c>
      <c r="N67" t="s">
        <v>861</v>
      </c>
      <c r="O67">
        <v>0</v>
      </c>
      <c r="P67" t="s">
        <v>1180</v>
      </c>
      <c r="Q67" t="s">
        <v>19</v>
      </c>
      <c r="R67" t="s">
        <v>919</v>
      </c>
      <c r="S67" t="s">
        <v>979</v>
      </c>
      <c r="T67" t="s">
        <v>1585</v>
      </c>
      <c r="U67" t="s">
        <v>1585</v>
      </c>
      <c r="V67" t="s">
        <v>981</v>
      </c>
      <c r="Y67" t="s">
        <v>874</v>
      </c>
      <c r="Z67" t="s">
        <v>861</v>
      </c>
      <c r="AA67" t="s">
        <v>958</v>
      </c>
      <c r="AB67" t="s">
        <v>1593</v>
      </c>
      <c r="AD67" t="s">
        <v>869</v>
      </c>
      <c r="AJ67" t="s">
        <v>861</v>
      </c>
      <c r="AK67" t="s">
        <v>880</v>
      </c>
      <c r="AL67" t="s">
        <v>913</v>
      </c>
      <c r="AM67" t="s">
        <v>986</v>
      </c>
      <c r="AP67" t="s">
        <v>969</v>
      </c>
      <c r="AQ67" t="s">
        <v>1233</v>
      </c>
      <c r="AS67" t="s">
        <v>1233</v>
      </c>
      <c r="AT67" t="s">
        <v>1233</v>
      </c>
      <c r="AU67" t="s">
        <v>886</v>
      </c>
      <c r="AW67" t="s">
        <v>1233</v>
      </c>
      <c r="AX67" t="s">
        <v>1233</v>
      </c>
      <c r="AZ67" t="s">
        <v>1527</v>
      </c>
      <c r="BA67" t="s">
        <v>1274</v>
      </c>
      <c r="BK67" t="s">
        <v>891</v>
      </c>
      <c r="BL67">
        <v>1041</v>
      </c>
      <c r="BM67">
        <v>66.930000000000007</v>
      </c>
      <c r="BN67">
        <v>11326.7</v>
      </c>
      <c r="BO67">
        <v>19076.38</v>
      </c>
      <c r="BP67">
        <v>19076.38</v>
      </c>
      <c r="BQ67">
        <v>19076.38</v>
      </c>
      <c r="BR67">
        <v>0</v>
      </c>
      <c r="BS67" t="s">
        <v>892</v>
      </c>
      <c r="BT67">
        <v>1829</v>
      </c>
      <c r="BV67" t="s">
        <v>1587</v>
      </c>
      <c r="BW67" t="s">
        <v>1588</v>
      </c>
      <c r="BX67" t="s">
        <v>895</v>
      </c>
      <c r="BY67" t="s">
        <v>1589</v>
      </c>
      <c r="CD67" t="s">
        <v>1590</v>
      </c>
      <c r="CG67" t="s">
        <v>1592</v>
      </c>
      <c r="CH67" t="s">
        <v>898</v>
      </c>
      <c r="CI67" t="s">
        <v>1594</v>
      </c>
      <c r="CJ67" t="s">
        <v>1594</v>
      </c>
      <c r="CP67" t="s">
        <v>1168</v>
      </c>
      <c r="CT67" t="s">
        <v>901</v>
      </c>
    </row>
    <row r="68" spans="1:98" x14ac:dyDescent="0.15">
      <c r="A68" t="s">
        <v>861</v>
      </c>
      <c r="B68" t="s">
        <v>862</v>
      </c>
      <c r="C68" t="s">
        <v>92</v>
      </c>
      <c r="D68" t="s">
        <v>92</v>
      </c>
      <c r="E68" t="s">
        <v>92</v>
      </c>
      <c r="F68" t="s">
        <v>863</v>
      </c>
      <c r="G68" t="s">
        <v>864</v>
      </c>
      <c r="H68" t="s">
        <v>996</v>
      </c>
      <c r="I68" t="s">
        <v>90</v>
      </c>
      <c r="J68" t="s">
        <v>1595</v>
      </c>
      <c r="K68" t="s">
        <v>867</v>
      </c>
      <c r="L68" t="s">
        <v>868</v>
      </c>
      <c r="N68" t="s">
        <v>861</v>
      </c>
      <c r="O68">
        <v>0</v>
      </c>
      <c r="P68" t="s">
        <v>1142</v>
      </c>
      <c r="Q68" t="s">
        <v>19</v>
      </c>
      <c r="R68" t="s">
        <v>919</v>
      </c>
      <c r="S68" t="s">
        <v>979</v>
      </c>
      <c r="T68" t="s">
        <v>1596</v>
      </c>
      <c r="U68" t="s">
        <v>1596</v>
      </c>
      <c r="V68" t="s">
        <v>981</v>
      </c>
      <c r="Y68" t="s">
        <v>874</v>
      </c>
      <c r="Z68" t="s">
        <v>861</v>
      </c>
      <c r="AA68" t="s">
        <v>958</v>
      </c>
      <c r="AB68" t="s">
        <v>1593</v>
      </c>
      <c r="AD68" t="s">
        <v>923</v>
      </c>
      <c r="AE68" t="s">
        <v>1597</v>
      </c>
      <c r="AF68" t="s">
        <v>1598</v>
      </c>
      <c r="AJ68" t="s">
        <v>861</v>
      </c>
      <c r="AK68" t="s">
        <v>880</v>
      </c>
      <c r="AL68" t="s">
        <v>913</v>
      </c>
      <c r="AM68" t="s">
        <v>986</v>
      </c>
      <c r="AP68" t="s">
        <v>968</v>
      </c>
      <c r="AQ68" t="s">
        <v>1061</v>
      </c>
      <c r="AS68" t="s">
        <v>1061</v>
      </c>
      <c r="AT68" t="s">
        <v>1061</v>
      </c>
      <c r="AU68" t="s">
        <v>886</v>
      </c>
      <c r="AW68" t="s">
        <v>1061</v>
      </c>
      <c r="AX68" t="s">
        <v>1061</v>
      </c>
      <c r="AZ68" t="s">
        <v>889</v>
      </c>
      <c r="BA68" t="s">
        <v>1151</v>
      </c>
      <c r="BK68" t="s">
        <v>891</v>
      </c>
      <c r="BL68">
        <v>780</v>
      </c>
      <c r="BM68">
        <v>67.19</v>
      </c>
      <c r="BN68">
        <v>13178</v>
      </c>
      <c r="BO68">
        <v>28941.4</v>
      </c>
      <c r="BP68">
        <v>28941.4</v>
      </c>
      <c r="BQ68">
        <v>28941.4</v>
      </c>
      <c r="BR68">
        <v>0</v>
      </c>
      <c r="BS68" t="s">
        <v>892</v>
      </c>
      <c r="BT68">
        <v>1639</v>
      </c>
      <c r="BV68" t="s">
        <v>1599</v>
      </c>
      <c r="BW68" t="s">
        <v>1020</v>
      </c>
      <c r="BX68" t="s">
        <v>895</v>
      </c>
      <c r="BY68" t="s">
        <v>1589</v>
      </c>
      <c r="CD68" t="s">
        <v>1600</v>
      </c>
      <c r="CG68" t="s">
        <v>1595</v>
      </c>
      <c r="CH68" t="s">
        <v>898</v>
      </c>
      <c r="CI68" t="s">
        <v>1601</v>
      </c>
      <c r="CJ68" t="s">
        <v>1601</v>
      </c>
      <c r="CP68" t="s">
        <v>1250</v>
      </c>
      <c r="CT68" t="s">
        <v>901</v>
      </c>
    </row>
    <row r="69" spans="1:98" x14ac:dyDescent="0.15">
      <c r="A69" t="s">
        <v>861</v>
      </c>
      <c r="B69" t="s">
        <v>862</v>
      </c>
      <c r="C69" t="s">
        <v>368</v>
      </c>
      <c r="D69" t="s">
        <v>368</v>
      </c>
      <c r="E69" t="s">
        <v>368</v>
      </c>
      <c r="F69" t="s">
        <v>863</v>
      </c>
      <c r="G69" t="s">
        <v>864</v>
      </c>
      <c r="H69" t="s">
        <v>865</v>
      </c>
      <c r="I69" t="s">
        <v>367</v>
      </c>
      <c r="J69" t="s">
        <v>1602</v>
      </c>
      <c r="K69" t="s">
        <v>977</v>
      </c>
      <c r="L69" t="s">
        <v>868</v>
      </c>
      <c r="N69" t="s">
        <v>861</v>
      </c>
      <c r="O69">
        <v>0</v>
      </c>
      <c r="P69" t="s">
        <v>1180</v>
      </c>
      <c r="Q69" t="s">
        <v>36</v>
      </c>
      <c r="R69" t="s">
        <v>919</v>
      </c>
      <c r="S69" t="s">
        <v>979</v>
      </c>
      <c r="T69" t="s">
        <v>980</v>
      </c>
      <c r="U69" t="s">
        <v>980</v>
      </c>
      <c r="V69" t="s">
        <v>1464</v>
      </c>
      <c r="Y69" t="s">
        <v>874</v>
      </c>
      <c r="Z69" t="s">
        <v>861</v>
      </c>
      <c r="AA69" t="s">
        <v>958</v>
      </c>
      <c r="AB69" t="s">
        <v>1603</v>
      </c>
      <c r="AD69" t="s">
        <v>1604</v>
      </c>
      <c r="AF69" t="s">
        <v>983</v>
      </c>
      <c r="AG69" t="s">
        <v>888</v>
      </c>
      <c r="AH69" t="s">
        <v>984</v>
      </c>
      <c r="AJ69" t="s">
        <v>861</v>
      </c>
      <c r="AK69" t="s">
        <v>880</v>
      </c>
      <c r="AL69" t="s">
        <v>913</v>
      </c>
      <c r="AM69" t="s">
        <v>986</v>
      </c>
      <c r="AP69" t="s">
        <v>1002</v>
      </c>
      <c r="AQ69" t="s">
        <v>890</v>
      </c>
      <c r="AR69" t="s">
        <v>1061</v>
      </c>
      <c r="AS69" t="s">
        <v>890</v>
      </c>
      <c r="AT69" t="s">
        <v>890</v>
      </c>
      <c r="AU69" t="s">
        <v>886</v>
      </c>
      <c r="AW69" t="s">
        <v>890</v>
      </c>
      <c r="AX69" t="s">
        <v>890</v>
      </c>
      <c r="AZ69" t="s">
        <v>1373</v>
      </c>
      <c r="BA69" t="s">
        <v>988</v>
      </c>
      <c r="BK69" t="s">
        <v>891</v>
      </c>
      <c r="BL69">
        <v>723</v>
      </c>
      <c r="BM69">
        <v>68.91</v>
      </c>
      <c r="BN69">
        <v>19761.2</v>
      </c>
      <c r="BO69">
        <v>28203.200000000001</v>
      </c>
      <c r="BP69">
        <v>28203.200000000001</v>
      </c>
      <c r="BQ69">
        <v>28203.200000000001</v>
      </c>
      <c r="BR69">
        <v>0</v>
      </c>
      <c r="BS69" t="s">
        <v>892</v>
      </c>
      <c r="BT69">
        <v>1864</v>
      </c>
      <c r="BV69" t="s">
        <v>1605</v>
      </c>
      <c r="BW69" t="s">
        <v>1606</v>
      </c>
      <c r="BX69" t="s">
        <v>895</v>
      </c>
      <c r="BY69" t="s">
        <v>1607</v>
      </c>
      <c r="CD69" t="s">
        <v>1608</v>
      </c>
      <c r="CG69" t="s">
        <v>1609</v>
      </c>
      <c r="CH69" t="s">
        <v>994</v>
      </c>
      <c r="CI69" t="s">
        <v>1609</v>
      </c>
      <c r="CJ69" t="s">
        <v>1609</v>
      </c>
      <c r="CP69" t="s">
        <v>995</v>
      </c>
      <c r="CS69" t="s">
        <v>1210</v>
      </c>
      <c r="CT69" t="s">
        <v>901</v>
      </c>
    </row>
    <row r="70" spans="1:98" x14ac:dyDescent="0.15">
      <c r="A70" t="s">
        <v>861</v>
      </c>
      <c r="B70" t="s">
        <v>862</v>
      </c>
      <c r="C70" t="s">
        <v>316</v>
      </c>
      <c r="D70" t="s">
        <v>316</v>
      </c>
      <c r="E70" t="s">
        <v>316</v>
      </c>
      <c r="F70" t="s">
        <v>863</v>
      </c>
      <c r="G70" t="s">
        <v>1025</v>
      </c>
      <c r="H70" t="s">
        <v>865</v>
      </c>
      <c r="I70" t="s">
        <v>315</v>
      </c>
      <c r="J70" t="s">
        <v>1610</v>
      </c>
      <c r="K70" t="s">
        <v>867</v>
      </c>
      <c r="L70" t="s">
        <v>868</v>
      </c>
      <c r="N70" t="s">
        <v>861</v>
      </c>
      <c r="O70">
        <v>0</v>
      </c>
      <c r="P70" t="s">
        <v>1180</v>
      </c>
      <c r="Q70" t="s">
        <v>19</v>
      </c>
      <c r="R70" t="s">
        <v>919</v>
      </c>
      <c r="S70" t="s">
        <v>979</v>
      </c>
      <c r="T70" t="s">
        <v>1038</v>
      </c>
      <c r="U70" t="s">
        <v>1038</v>
      </c>
      <c r="V70" t="s">
        <v>1394</v>
      </c>
      <c r="W70" t="s">
        <v>1332</v>
      </c>
      <c r="Y70" t="s">
        <v>874</v>
      </c>
      <c r="Z70" t="s">
        <v>861</v>
      </c>
      <c r="AA70" t="s">
        <v>875</v>
      </c>
      <c r="AD70" t="s">
        <v>869</v>
      </c>
      <c r="AF70" t="s">
        <v>1611</v>
      </c>
      <c r="AG70" t="s">
        <v>1612</v>
      </c>
      <c r="AH70" t="s">
        <v>1247</v>
      </c>
      <c r="AI70" t="s">
        <v>957</v>
      </c>
      <c r="AJ70" t="s">
        <v>861</v>
      </c>
      <c r="AK70" t="s">
        <v>880</v>
      </c>
      <c r="AL70" t="s">
        <v>913</v>
      </c>
      <c r="AM70" t="s">
        <v>986</v>
      </c>
      <c r="AP70" t="s">
        <v>957</v>
      </c>
      <c r="AQ70" t="s">
        <v>890</v>
      </c>
      <c r="AR70" t="s">
        <v>1613</v>
      </c>
      <c r="AS70" t="s">
        <v>890</v>
      </c>
      <c r="AT70" t="s">
        <v>890</v>
      </c>
      <c r="AU70" t="s">
        <v>886</v>
      </c>
      <c r="AW70" t="s">
        <v>890</v>
      </c>
      <c r="AX70" t="s">
        <v>890</v>
      </c>
      <c r="AZ70" t="s">
        <v>965</v>
      </c>
      <c r="BA70" t="s">
        <v>988</v>
      </c>
      <c r="BK70" t="s">
        <v>891</v>
      </c>
      <c r="BL70">
        <v>752</v>
      </c>
      <c r="BM70">
        <v>64.55</v>
      </c>
      <c r="BN70">
        <v>18573.419999999998</v>
      </c>
      <c r="BO70">
        <v>27986.22</v>
      </c>
      <c r="BP70">
        <v>27986.22</v>
      </c>
      <c r="BQ70">
        <v>27986.22</v>
      </c>
      <c r="BR70">
        <v>0</v>
      </c>
      <c r="BS70" t="s">
        <v>892</v>
      </c>
      <c r="BT70">
        <v>1829</v>
      </c>
      <c r="BV70" t="s">
        <v>1587</v>
      </c>
      <c r="BW70" t="s">
        <v>1614</v>
      </c>
      <c r="BX70" t="s">
        <v>895</v>
      </c>
      <c r="BY70" t="s">
        <v>1403</v>
      </c>
      <c r="CD70" t="s">
        <v>1404</v>
      </c>
      <c r="CG70" t="s">
        <v>1610</v>
      </c>
      <c r="CH70" t="s">
        <v>898</v>
      </c>
      <c r="CI70" t="s">
        <v>1615</v>
      </c>
      <c r="CJ70" t="s">
        <v>1615</v>
      </c>
      <c r="CP70" t="s">
        <v>1292</v>
      </c>
      <c r="CT70" t="s">
        <v>901</v>
      </c>
    </row>
    <row r="71" spans="1:98" x14ac:dyDescent="0.15">
      <c r="A71" t="s">
        <v>861</v>
      </c>
      <c r="B71" t="s">
        <v>862</v>
      </c>
      <c r="C71" t="s">
        <v>294</v>
      </c>
      <c r="D71" t="s">
        <v>294</v>
      </c>
      <c r="E71" t="s">
        <v>294</v>
      </c>
      <c r="F71" t="s">
        <v>863</v>
      </c>
      <c r="G71" t="s">
        <v>1025</v>
      </c>
      <c r="H71" t="s">
        <v>865</v>
      </c>
      <c r="I71" t="s">
        <v>293</v>
      </c>
      <c r="J71" t="s">
        <v>1616</v>
      </c>
      <c r="K71" t="s">
        <v>867</v>
      </c>
      <c r="L71" t="s">
        <v>868</v>
      </c>
      <c r="N71" t="s">
        <v>861</v>
      </c>
      <c r="O71">
        <v>0</v>
      </c>
      <c r="P71" t="s">
        <v>1180</v>
      </c>
      <c r="Q71" t="s">
        <v>19</v>
      </c>
      <c r="R71" t="s">
        <v>919</v>
      </c>
      <c r="S71" t="s">
        <v>979</v>
      </c>
      <c r="T71" t="s">
        <v>1038</v>
      </c>
      <c r="U71" t="s">
        <v>1038</v>
      </c>
      <c r="V71" t="s">
        <v>1394</v>
      </c>
      <c r="W71" t="s">
        <v>1332</v>
      </c>
      <c r="Y71" t="s">
        <v>910</v>
      </c>
      <c r="Z71" t="s">
        <v>861</v>
      </c>
      <c r="AA71" t="s">
        <v>875</v>
      </c>
      <c r="AD71" t="s">
        <v>869</v>
      </c>
      <c r="AF71" t="s">
        <v>1611</v>
      </c>
      <c r="AG71" t="s">
        <v>1617</v>
      </c>
      <c r="AH71" t="s">
        <v>1247</v>
      </c>
      <c r="AI71" t="s">
        <v>957</v>
      </c>
      <c r="AJ71" t="s">
        <v>861</v>
      </c>
      <c r="AK71" t="s">
        <v>880</v>
      </c>
      <c r="AL71" t="s">
        <v>913</v>
      </c>
      <c r="AM71" t="s">
        <v>986</v>
      </c>
      <c r="AN71" t="s">
        <v>986</v>
      </c>
      <c r="AO71" t="s">
        <v>1618</v>
      </c>
      <c r="AP71" t="s">
        <v>957</v>
      </c>
      <c r="AQ71" t="s">
        <v>890</v>
      </c>
      <c r="AR71" t="s">
        <v>1619</v>
      </c>
      <c r="AS71" t="s">
        <v>890</v>
      </c>
      <c r="AT71" t="s">
        <v>890</v>
      </c>
      <c r="AU71" t="s">
        <v>886</v>
      </c>
      <c r="AW71" t="s">
        <v>890</v>
      </c>
      <c r="AX71" t="s">
        <v>988</v>
      </c>
      <c r="AZ71" t="s">
        <v>965</v>
      </c>
      <c r="BA71" t="s">
        <v>1061</v>
      </c>
      <c r="BK71" t="s">
        <v>891</v>
      </c>
      <c r="BL71">
        <v>717</v>
      </c>
      <c r="BM71">
        <v>67.680000000000007</v>
      </c>
      <c r="BN71">
        <v>16513.05</v>
      </c>
      <c r="BO71">
        <v>24151.34</v>
      </c>
      <c r="BP71">
        <v>24151.34</v>
      </c>
      <c r="BQ71">
        <v>24151.34</v>
      </c>
      <c r="BR71">
        <v>0</v>
      </c>
      <c r="BS71" t="s">
        <v>892</v>
      </c>
      <c r="BT71">
        <v>1829</v>
      </c>
      <c r="BV71" t="s">
        <v>1587</v>
      </c>
      <c r="BW71" t="s">
        <v>1614</v>
      </c>
      <c r="BX71" t="s">
        <v>895</v>
      </c>
      <c r="BY71" t="s">
        <v>1403</v>
      </c>
      <c r="CD71" t="s">
        <v>1620</v>
      </c>
      <c r="CG71" t="s">
        <v>1616</v>
      </c>
      <c r="CH71" t="s">
        <v>898</v>
      </c>
      <c r="CI71" t="s">
        <v>1621</v>
      </c>
      <c r="CJ71" t="s">
        <v>1621</v>
      </c>
      <c r="CM71" t="s">
        <v>1044</v>
      </c>
      <c r="CN71" t="s">
        <v>1045</v>
      </c>
      <c r="CO71" t="s">
        <v>1622</v>
      </c>
      <c r="CP71" t="s">
        <v>1292</v>
      </c>
      <c r="CT71" t="s">
        <v>901</v>
      </c>
    </row>
    <row r="72" spans="1:98" x14ac:dyDescent="0.15">
      <c r="A72" t="s">
        <v>861</v>
      </c>
      <c r="B72" t="s">
        <v>862</v>
      </c>
      <c r="C72" t="s">
        <v>146</v>
      </c>
      <c r="D72" t="s">
        <v>146</v>
      </c>
      <c r="E72" t="s">
        <v>146</v>
      </c>
      <c r="F72" t="s">
        <v>863</v>
      </c>
      <c r="G72" t="s">
        <v>1025</v>
      </c>
      <c r="H72" t="s">
        <v>865</v>
      </c>
      <c r="I72" t="s">
        <v>145</v>
      </c>
      <c r="J72" t="s">
        <v>1623</v>
      </c>
      <c r="K72" t="s">
        <v>867</v>
      </c>
      <c r="L72" t="s">
        <v>868</v>
      </c>
      <c r="N72" t="s">
        <v>861</v>
      </c>
      <c r="O72">
        <v>0</v>
      </c>
      <c r="P72" t="s">
        <v>1180</v>
      </c>
      <c r="Q72" t="s">
        <v>19</v>
      </c>
      <c r="R72" t="s">
        <v>919</v>
      </c>
      <c r="S72" t="s">
        <v>979</v>
      </c>
      <c r="T72" t="s">
        <v>1038</v>
      </c>
      <c r="U72" t="s">
        <v>1038</v>
      </c>
      <c r="V72" t="s">
        <v>1394</v>
      </c>
      <c r="W72" t="s">
        <v>1332</v>
      </c>
      <c r="Y72" t="s">
        <v>874</v>
      </c>
      <c r="Z72" t="s">
        <v>861</v>
      </c>
      <c r="AA72" t="s">
        <v>875</v>
      </c>
      <c r="AD72" t="s">
        <v>869</v>
      </c>
      <c r="AF72" t="s">
        <v>1611</v>
      </c>
      <c r="AG72" t="s">
        <v>1624</v>
      </c>
      <c r="AH72" t="s">
        <v>1247</v>
      </c>
      <c r="AI72" t="s">
        <v>957</v>
      </c>
      <c r="AJ72" t="s">
        <v>861</v>
      </c>
      <c r="AK72" t="s">
        <v>880</v>
      </c>
      <c r="AL72" t="s">
        <v>913</v>
      </c>
      <c r="AM72" t="s">
        <v>986</v>
      </c>
      <c r="AP72" t="s">
        <v>957</v>
      </c>
      <c r="AQ72" t="s">
        <v>890</v>
      </c>
      <c r="AR72" t="s">
        <v>1625</v>
      </c>
      <c r="AS72" t="s">
        <v>890</v>
      </c>
      <c r="AT72" t="s">
        <v>890</v>
      </c>
      <c r="AU72" t="s">
        <v>886</v>
      </c>
      <c r="AW72" t="s">
        <v>890</v>
      </c>
      <c r="AX72" t="s">
        <v>890</v>
      </c>
      <c r="AZ72" t="s">
        <v>965</v>
      </c>
      <c r="BA72" t="s">
        <v>988</v>
      </c>
      <c r="BK72" t="s">
        <v>891</v>
      </c>
      <c r="BL72">
        <v>880</v>
      </c>
      <c r="BM72">
        <v>67.650000000000006</v>
      </c>
      <c r="BN72">
        <v>18665.099999999999</v>
      </c>
      <c r="BO72">
        <v>28049.599999999999</v>
      </c>
      <c r="BP72">
        <v>28049.599999999999</v>
      </c>
      <c r="BQ72">
        <v>28049.599999999999</v>
      </c>
      <c r="BR72">
        <v>0</v>
      </c>
      <c r="BS72" t="s">
        <v>892</v>
      </c>
      <c r="BT72">
        <v>1829</v>
      </c>
      <c r="BV72" t="s">
        <v>1587</v>
      </c>
      <c r="BW72" t="s">
        <v>1614</v>
      </c>
      <c r="BX72" t="s">
        <v>895</v>
      </c>
      <c r="BY72" t="s">
        <v>1626</v>
      </c>
      <c r="CD72" t="s">
        <v>1620</v>
      </c>
      <c r="CG72" t="s">
        <v>1623</v>
      </c>
      <c r="CH72" t="s">
        <v>898</v>
      </c>
      <c r="CI72" t="s">
        <v>1627</v>
      </c>
      <c r="CJ72" t="s">
        <v>1627</v>
      </c>
      <c r="CP72" t="s">
        <v>1292</v>
      </c>
      <c r="CT72" t="s">
        <v>901</v>
      </c>
    </row>
    <row r="73" spans="1:98" x14ac:dyDescent="0.15">
      <c r="A73" t="s">
        <v>861</v>
      </c>
      <c r="B73" t="s">
        <v>862</v>
      </c>
      <c r="C73" t="s">
        <v>28</v>
      </c>
      <c r="D73" t="s">
        <v>28</v>
      </c>
      <c r="E73" t="s">
        <v>28</v>
      </c>
      <c r="F73" t="s">
        <v>863</v>
      </c>
      <c r="G73" t="s">
        <v>864</v>
      </c>
      <c r="H73" t="s">
        <v>996</v>
      </c>
      <c r="I73" t="s">
        <v>27</v>
      </c>
      <c r="J73" t="s">
        <v>1628</v>
      </c>
      <c r="K73" t="s">
        <v>867</v>
      </c>
      <c r="L73" t="s">
        <v>868</v>
      </c>
      <c r="N73" t="s">
        <v>861</v>
      </c>
      <c r="O73">
        <v>0</v>
      </c>
      <c r="P73" t="s">
        <v>1180</v>
      </c>
      <c r="Q73" t="s">
        <v>19</v>
      </c>
      <c r="R73" t="s">
        <v>919</v>
      </c>
      <c r="S73" t="s">
        <v>979</v>
      </c>
      <c r="T73" t="s">
        <v>1629</v>
      </c>
      <c r="U73" t="s">
        <v>1629</v>
      </c>
      <c r="V73" t="s">
        <v>1356</v>
      </c>
      <c r="W73" t="s">
        <v>1332</v>
      </c>
      <c r="Y73" t="s">
        <v>874</v>
      </c>
      <c r="Z73" t="s">
        <v>861</v>
      </c>
      <c r="AA73" t="s">
        <v>958</v>
      </c>
      <c r="AB73" t="s">
        <v>1630</v>
      </c>
      <c r="AD73" t="s">
        <v>869</v>
      </c>
      <c r="AF73" t="s">
        <v>1631</v>
      </c>
      <c r="AJ73" t="s">
        <v>861</v>
      </c>
      <c r="AK73" t="s">
        <v>880</v>
      </c>
      <c r="AL73" t="s">
        <v>913</v>
      </c>
      <c r="AM73" t="s">
        <v>986</v>
      </c>
      <c r="AP73" t="s">
        <v>1526</v>
      </c>
      <c r="AQ73" t="s">
        <v>1151</v>
      </c>
      <c r="AS73" t="s">
        <v>1151</v>
      </c>
      <c r="AT73" t="s">
        <v>1151</v>
      </c>
      <c r="AU73" t="s">
        <v>886</v>
      </c>
      <c r="AW73" t="s">
        <v>1151</v>
      </c>
      <c r="AX73" t="s">
        <v>1151</v>
      </c>
      <c r="AZ73" t="s">
        <v>1276</v>
      </c>
      <c r="BA73" t="s">
        <v>1152</v>
      </c>
      <c r="BK73" t="s">
        <v>891</v>
      </c>
      <c r="BL73">
        <v>631</v>
      </c>
      <c r="BM73">
        <v>65.5</v>
      </c>
      <c r="BN73">
        <v>18303</v>
      </c>
      <c r="BO73">
        <v>25837.81</v>
      </c>
      <c r="BP73">
        <v>25837.81</v>
      </c>
      <c r="BQ73">
        <v>25837.81</v>
      </c>
      <c r="BR73">
        <v>0</v>
      </c>
      <c r="BS73" t="s">
        <v>892</v>
      </c>
      <c r="BT73">
        <v>1829</v>
      </c>
      <c r="BV73" t="s">
        <v>1587</v>
      </c>
      <c r="BW73" t="s">
        <v>1460</v>
      </c>
      <c r="BX73" t="s">
        <v>895</v>
      </c>
      <c r="BY73" t="s">
        <v>1426</v>
      </c>
      <c r="CD73" t="s">
        <v>1427</v>
      </c>
      <c r="CG73" t="s">
        <v>1628</v>
      </c>
      <c r="CH73" t="s">
        <v>898</v>
      </c>
      <c r="CI73" t="s">
        <v>1632</v>
      </c>
      <c r="CJ73" t="s">
        <v>1632</v>
      </c>
      <c r="CP73" t="s">
        <v>1292</v>
      </c>
      <c r="CS73" t="s">
        <v>1210</v>
      </c>
      <c r="CT73" t="s">
        <v>901</v>
      </c>
    </row>
    <row r="74" spans="1:98" x14ac:dyDescent="0.15">
      <c r="A74" t="s">
        <v>861</v>
      </c>
      <c r="B74" t="s">
        <v>862</v>
      </c>
      <c r="C74" t="s">
        <v>30</v>
      </c>
      <c r="D74" t="s">
        <v>30</v>
      </c>
      <c r="E74" t="s">
        <v>30</v>
      </c>
      <c r="F74" t="s">
        <v>863</v>
      </c>
      <c r="G74" t="s">
        <v>864</v>
      </c>
      <c r="H74" t="s">
        <v>996</v>
      </c>
      <c r="I74" t="s">
        <v>29</v>
      </c>
      <c r="J74" t="s">
        <v>1633</v>
      </c>
      <c r="K74" t="s">
        <v>867</v>
      </c>
      <c r="L74" t="s">
        <v>868</v>
      </c>
      <c r="N74" t="s">
        <v>861</v>
      </c>
      <c r="O74">
        <v>0</v>
      </c>
      <c r="P74" t="s">
        <v>1180</v>
      </c>
      <c r="Q74" t="s">
        <v>19</v>
      </c>
      <c r="R74" t="s">
        <v>919</v>
      </c>
      <c r="S74" t="s">
        <v>979</v>
      </c>
      <c r="T74" t="s">
        <v>1629</v>
      </c>
      <c r="U74" t="s">
        <v>1629</v>
      </c>
      <c r="V74" t="s">
        <v>1356</v>
      </c>
      <c r="W74" t="s">
        <v>1332</v>
      </c>
      <c r="Y74" t="s">
        <v>910</v>
      </c>
      <c r="Z74" t="s">
        <v>861</v>
      </c>
      <c r="AA74" t="s">
        <v>958</v>
      </c>
      <c r="AB74" t="s">
        <v>1634</v>
      </c>
      <c r="AD74" t="s">
        <v>869</v>
      </c>
      <c r="AF74" t="s">
        <v>1631</v>
      </c>
      <c r="AJ74" t="s">
        <v>861</v>
      </c>
      <c r="AK74" t="s">
        <v>880</v>
      </c>
      <c r="AL74" t="s">
        <v>913</v>
      </c>
      <c r="AM74" t="s">
        <v>986</v>
      </c>
      <c r="AP74" t="s">
        <v>1526</v>
      </c>
      <c r="AQ74" t="s">
        <v>1151</v>
      </c>
      <c r="AS74" t="s">
        <v>1151</v>
      </c>
      <c r="AT74" t="s">
        <v>1151</v>
      </c>
      <c r="AU74" t="s">
        <v>886</v>
      </c>
      <c r="AW74" t="s">
        <v>1151</v>
      </c>
      <c r="AX74" t="s">
        <v>1151</v>
      </c>
      <c r="AZ74" t="s">
        <v>1276</v>
      </c>
      <c r="BA74" t="s">
        <v>1152</v>
      </c>
      <c r="BK74" t="s">
        <v>891</v>
      </c>
      <c r="BL74">
        <v>728</v>
      </c>
      <c r="BM74">
        <v>70.08</v>
      </c>
      <c r="BN74">
        <v>17287.7</v>
      </c>
      <c r="BO74">
        <v>25463.759999999998</v>
      </c>
      <c r="BP74">
        <v>25463.759999999998</v>
      </c>
      <c r="BQ74">
        <v>25463.759999999998</v>
      </c>
      <c r="BR74">
        <v>0</v>
      </c>
      <c r="BS74" t="s">
        <v>892</v>
      </c>
      <c r="BT74">
        <v>1829</v>
      </c>
      <c r="BV74" t="s">
        <v>1587</v>
      </c>
      <c r="BW74" t="s">
        <v>1460</v>
      </c>
      <c r="BX74" t="s">
        <v>895</v>
      </c>
      <c r="BY74" t="s">
        <v>1426</v>
      </c>
      <c r="CD74" t="s">
        <v>1635</v>
      </c>
      <c r="CG74" t="s">
        <v>1633</v>
      </c>
      <c r="CH74" t="s">
        <v>898</v>
      </c>
      <c r="CI74" t="s">
        <v>1636</v>
      </c>
      <c r="CJ74" t="s">
        <v>1636</v>
      </c>
      <c r="CP74" t="s">
        <v>1292</v>
      </c>
      <c r="CT74" t="s">
        <v>901</v>
      </c>
    </row>
    <row r="75" spans="1:98" x14ac:dyDescent="0.15">
      <c r="A75" t="s">
        <v>861</v>
      </c>
      <c r="B75" t="s">
        <v>862</v>
      </c>
      <c r="C75" t="s">
        <v>94</v>
      </c>
      <c r="D75" t="s">
        <v>94</v>
      </c>
      <c r="E75" t="s">
        <v>94</v>
      </c>
      <c r="F75" t="s">
        <v>863</v>
      </c>
      <c r="G75" t="s">
        <v>864</v>
      </c>
      <c r="H75" t="s">
        <v>996</v>
      </c>
      <c r="I75" t="s">
        <v>93</v>
      </c>
      <c r="J75" t="s">
        <v>1637</v>
      </c>
      <c r="K75" t="s">
        <v>867</v>
      </c>
      <c r="L75" t="s">
        <v>868</v>
      </c>
      <c r="N75" t="s">
        <v>861</v>
      </c>
      <c r="O75">
        <v>0</v>
      </c>
      <c r="P75" t="s">
        <v>1180</v>
      </c>
      <c r="Q75" t="s">
        <v>19</v>
      </c>
      <c r="R75" t="s">
        <v>919</v>
      </c>
      <c r="S75" t="s">
        <v>979</v>
      </c>
      <c r="T75" t="s">
        <v>1629</v>
      </c>
      <c r="U75" t="s">
        <v>1629</v>
      </c>
      <c r="V75" t="s">
        <v>1356</v>
      </c>
      <c r="W75" t="s">
        <v>1332</v>
      </c>
      <c r="Y75" t="s">
        <v>874</v>
      </c>
      <c r="Z75" t="s">
        <v>861</v>
      </c>
      <c r="AA75" t="s">
        <v>958</v>
      </c>
      <c r="AB75" t="s">
        <v>1634</v>
      </c>
      <c r="AD75" t="s">
        <v>869</v>
      </c>
      <c r="AF75" t="s">
        <v>1631</v>
      </c>
      <c r="AJ75" t="s">
        <v>861</v>
      </c>
      <c r="AK75" t="s">
        <v>880</v>
      </c>
      <c r="AL75" t="s">
        <v>913</v>
      </c>
      <c r="AM75" t="s">
        <v>986</v>
      </c>
      <c r="AP75" t="s">
        <v>1526</v>
      </c>
      <c r="AQ75" t="s">
        <v>1151</v>
      </c>
      <c r="AS75" t="s">
        <v>1151</v>
      </c>
      <c r="AT75" t="s">
        <v>1151</v>
      </c>
      <c r="AU75" t="s">
        <v>886</v>
      </c>
      <c r="AW75" t="s">
        <v>1151</v>
      </c>
      <c r="AX75" t="s">
        <v>1151</v>
      </c>
      <c r="AZ75" t="s">
        <v>1276</v>
      </c>
      <c r="BA75" t="s">
        <v>1152</v>
      </c>
      <c r="BK75" t="s">
        <v>891</v>
      </c>
      <c r="BL75">
        <v>658</v>
      </c>
      <c r="BM75">
        <v>80.92</v>
      </c>
      <c r="BN75">
        <v>20231</v>
      </c>
      <c r="BO75">
        <v>23338.28</v>
      </c>
      <c r="BP75">
        <v>23338.28</v>
      </c>
      <c r="BQ75">
        <v>23338.28</v>
      </c>
      <c r="BR75">
        <v>0</v>
      </c>
      <c r="BS75" t="s">
        <v>892</v>
      </c>
      <c r="BT75">
        <v>1829</v>
      </c>
      <c r="BV75" t="s">
        <v>1587</v>
      </c>
      <c r="BW75" t="s">
        <v>1460</v>
      </c>
      <c r="BX75" t="s">
        <v>895</v>
      </c>
      <c r="BY75" t="s">
        <v>1638</v>
      </c>
      <c r="CD75" t="s">
        <v>1635</v>
      </c>
      <c r="CG75" t="s">
        <v>1637</v>
      </c>
      <c r="CH75" t="s">
        <v>898</v>
      </c>
      <c r="CI75" t="s">
        <v>1639</v>
      </c>
      <c r="CJ75" t="s">
        <v>1639</v>
      </c>
      <c r="CP75" t="s">
        <v>1292</v>
      </c>
      <c r="CS75" t="s">
        <v>1210</v>
      </c>
      <c r="CT75" t="s">
        <v>901</v>
      </c>
    </row>
    <row r="76" spans="1:98" x14ac:dyDescent="0.15">
      <c r="A76" t="s">
        <v>861</v>
      </c>
      <c r="B76" t="s">
        <v>862</v>
      </c>
      <c r="C76" t="s">
        <v>254</v>
      </c>
      <c r="D76" t="s">
        <v>254</v>
      </c>
      <c r="E76" t="s">
        <v>254</v>
      </c>
      <c r="F76" t="s">
        <v>863</v>
      </c>
      <c r="G76" t="s">
        <v>1025</v>
      </c>
      <c r="H76" t="s">
        <v>1026</v>
      </c>
      <c r="I76" t="s">
        <v>253</v>
      </c>
      <c r="J76" t="s">
        <v>1640</v>
      </c>
      <c r="K76" t="s">
        <v>977</v>
      </c>
      <c r="L76" t="s">
        <v>868</v>
      </c>
      <c r="N76" t="s">
        <v>861</v>
      </c>
      <c r="O76">
        <v>0</v>
      </c>
      <c r="P76" t="s">
        <v>869</v>
      </c>
      <c r="Q76" t="s">
        <v>125</v>
      </c>
      <c r="R76" t="s">
        <v>870</v>
      </c>
      <c r="S76" t="s">
        <v>871</v>
      </c>
      <c r="T76" t="s">
        <v>1440</v>
      </c>
      <c r="U76" t="s">
        <v>1440</v>
      </c>
      <c r="V76" t="s">
        <v>1394</v>
      </c>
      <c r="Y76" t="s">
        <v>874</v>
      </c>
      <c r="Z76" t="s">
        <v>861</v>
      </c>
      <c r="AA76" t="s">
        <v>875</v>
      </c>
      <c r="AF76" t="s">
        <v>1444</v>
      </c>
      <c r="AG76" t="s">
        <v>1260</v>
      </c>
      <c r="AH76" t="s">
        <v>1032</v>
      </c>
      <c r="AI76" t="s">
        <v>1226</v>
      </c>
      <c r="AJ76" t="s">
        <v>861</v>
      </c>
      <c r="AK76" t="s">
        <v>880</v>
      </c>
      <c r="AL76" t="s">
        <v>913</v>
      </c>
      <c r="AM76" t="s">
        <v>882</v>
      </c>
      <c r="AN76" t="s">
        <v>882</v>
      </c>
      <c r="AO76" t="s">
        <v>1641</v>
      </c>
      <c r="AP76" t="s">
        <v>1226</v>
      </c>
      <c r="AQ76" t="s">
        <v>1034</v>
      </c>
      <c r="AR76" t="s">
        <v>1037</v>
      </c>
      <c r="AS76" t="s">
        <v>1034</v>
      </c>
      <c r="AT76" t="s">
        <v>1034</v>
      </c>
      <c r="AU76" t="s">
        <v>886</v>
      </c>
      <c r="AW76" t="s">
        <v>1036</v>
      </c>
      <c r="AX76" t="s">
        <v>1035</v>
      </c>
      <c r="AZ76" t="s">
        <v>1527</v>
      </c>
      <c r="BA76" t="s">
        <v>1037</v>
      </c>
      <c r="BB76" t="s">
        <v>1265</v>
      </c>
      <c r="BK76" t="s">
        <v>1134</v>
      </c>
      <c r="BL76">
        <v>309</v>
      </c>
      <c r="BM76">
        <v>63.12</v>
      </c>
      <c r="BN76">
        <v>11789</v>
      </c>
      <c r="BO76">
        <v>26519.56</v>
      </c>
      <c r="BP76">
        <v>26519.56</v>
      </c>
      <c r="BQ76">
        <v>29409.119999999999</v>
      </c>
      <c r="BR76">
        <v>2889.56</v>
      </c>
      <c r="BS76" t="s">
        <v>892</v>
      </c>
      <c r="BT76">
        <v>2886</v>
      </c>
      <c r="BV76" t="s">
        <v>1642</v>
      </c>
      <c r="BW76" t="s">
        <v>1643</v>
      </c>
      <c r="BX76" t="s">
        <v>895</v>
      </c>
      <c r="BY76" t="s">
        <v>1644</v>
      </c>
      <c r="CD76" t="s">
        <v>1645</v>
      </c>
      <c r="CG76" t="s">
        <v>1646</v>
      </c>
      <c r="CH76" t="s">
        <v>994</v>
      </c>
      <c r="CI76" t="s">
        <v>1646</v>
      </c>
      <c r="CJ76" t="s">
        <v>1646</v>
      </c>
      <c r="CM76" t="s">
        <v>1044</v>
      </c>
      <c r="CN76" t="s">
        <v>1045</v>
      </c>
      <c r="CO76" t="s">
        <v>1647</v>
      </c>
      <c r="CP76" t="s">
        <v>1157</v>
      </c>
      <c r="CT76" t="s">
        <v>901</v>
      </c>
    </row>
    <row r="77" spans="1:98" x14ac:dyDescent="0.15">
      <c r="A77" t="s">
        <v>861</v>
      </c>
      <c r="B77" t="s">
        <v>862</v>
      </c>
      <c r="C77" t="s">
        <v>453</v>
      </c>
      <c r="D77" t="s">
        <v>453</v>
      </c>
      <c r="E77" t="s">
        <v>453</v>
      </c>
      <c r="F77" t="s">
        <v>863</v>
      </c>
      <c r="G77" t="s">
        <v>1025</v>
      </c>
      <c r="H77" t="s">
        <v>1026</v>
      </c>
      <c r="I77" t="s">
        <v>452</v>
      </c>
      <c r="J77" t="s">
        <v>1648</v>
      </c>
      <c r="K77" t="s">
        <v>977</v>
      </c>
      <c r="L77" t="s">
        <v>868</v>
      </c>
      <c r="N77" t="s">
        <v>861</v>
      </c>
      <c r="O77">
        <v>0</v>
      </c>
      <c r="P77" t="s">
        <v>869</v>
      </c>
      <c r="Q77" t="s">
        <v>125</v>
      </c>
      <c r="R77" t="s">
        <v>870</v>
      </c>
      <c r="S77" t="s">
        <v>871</v>
      </c>
      <c r="T77" t="s">
        <v>1440</v>
      </c>
      <c r="U77" t="s">
        <v>1440</v>
      </c>
      <c r="V77" t="s">
        <v>1394</v>
      </c>
      <c r="Y77" t="s">
        <v>874</v>
      </c>
      <c r="Z77" t="s">
        <v>861</v>
      </c>
      <c r="AA77" t="s">
        <v>875</v>
      </c>
      <c r="AF77" t="s">
        <v>1444</v>
      </c>
      <c r="AG77" t="s">
        <v>1260</v>
      </c>
      <c r="AH77" t="s">
        <v>1032</v>
      </c>
      <c r="AI77" t="s">
        <v>1226</v>
      </c>
      <c r="AJ77" t="s">
        <v>861</v>
      </c>
      <c r="AK77" t="s">
        <v>880</v>
      </c>
      <c r="AL77" t="s">
        <v>913</v>
      </c>
      <c r="AM77" t="s">
        <v>882</v>
      </c>
      <c r="AN77" t="s">
        <v>882</v>
      </c>
      <c r="AO77" t="s">
        <v>1649</v>
      </c>
      <c r="AP77" t="s">
        <v>1226</v>
      </c>
      <c r="AQ77" t="s">
        <v>1038</v>
      </c>
      <c r="AR77" t="s">
        <v>1038</v>
      </c>
      <c r="AS77" t="s">
        <v>1038</v>
      </c>
      <c r="AT77" t="s">
        <v>1038</v>
      </c>
      <c r="AU77" t="s">
        <v>886</v>
      </c>
      <c r="AW77" t="s">
        <v>1265</v>
      </c>
      <c r="AX77" t="s">
        <v>1418</v>
      </c>
      <c r="AZ77" t="s">
        <v>1017</v>
      </c>
      <c r="BA77" t="s">
        <v>888</v>
      </c>
      <c r="BB77" t="s">
        <v>1061</v>
      </c>
      <c r="BH77" t="s">
        <v>1650</v>
      </c>
      <c r="BK77" t="s">
        <v>1134</v>
      </c>
      <c r="BL77">
        <v>614</v>
      </c>
      <c r="BM77">
        <v>65.83</v>
      </c>
      <c r="BN77">
        <v>15348.4</v>
      </c>
      <c r="BO77">
        <v>30483.62</v>
      </c>
      <c r="BP77">
        <v>30483.62</v>
      </c>
      <c r="BQ77">
        <v>33373.660000000003</v>
      </c>
      <c r="BR77">
        <v>2890.04</v>
      </c>
      <c r="BS77" t="s">
        <v>892</v>
      </c>
      <c r="BT77">
        <v>2886</v>
      </c>
      <c r="BV77" t="s">
        <v>1642</v>
      </c>
      <c r="BW77" t="s">
        <v>1643</v>
      </c>
      <c r="BX77" t="s">
        <v>895</v>
      </c>
      <c r="BY77" t="s">
        <v>1644</v>
      </c>
      <c r="CD77" t="s">
        <v>1645</v>
      </c>
      <c r="CG77" t="s">
        <v>1651</v>
      </c>
      <c r="CH77" t="s">
        <v>994</v>
      </c>
      <c r="CI77" t="s">
        <v>1651</v>
      </c>
      <c r="CJ77" t="s">
        <v>1651</v>
      </c>
      <c r="CM77" t="s">
        <v>1044</v>
      </c>
      <c r="CN77" t="s">
        <v>1045</v>
      </c>
      <c r="CO77" t="s">
        <v>1652</v>
      </c>
      <c r="CP77" t="s">
        <v>1157</v>
      </c>
      <c r="CT77" t="s">
        <v>901</v>
      </c>
    </row>
    <row r="78" spans="1:98" x14ac:dyDescent="0.15">
      <c r="A78" t="s">
        <v>861</v>
      </c>
      <c r="B78" t="s">
        <v>862</v>
      </c>
      <c r="C78" t="s">
        <v>344</v>
      </c>
      <c r="D78" t="s">
        <v>344</v>
      </c>
      <c r="E78" t="s">
        <v>344</v>
      </c>
      <c r="F78" t="s">
        <v>863</v>
      </c>
      <c r="G78" t="s">
        <v>1025</v>
      </c>
      <c r="H78" t="s">
        <v>1026</v>
      </c>
      <c r="I78" t="s">
        <v>343</v>
      </c>
      <c r="J78" t="s">
        <v>1653</v>
      </c>
      <c r="K78" t="s">
        <v>977</v>
      </c>
      <c r="L78" t="s">
        <v>868</v>
      </c>
      <c r="N78" t="s">
        <v>861</v>
      </c>
      <c r="O78">
        <v>0</v>
      </c>
      <c r="P78" t="s">
        <v>869</v>
      </c>
      <c r="Q78" t="s">
        <v>125</v>
      </c>
      <c r="R78" t="s">
        <v>870</v>
      </c>
      <c r="S78" t="s">
        <v>871</v>
      </c>
      <c r="T78" t="s">
        <v>1440</v>
      </c>
      <c r="U78" t="s">
        <v>1440</v>
      </c>
      <c r="V78" t="s">
        <v>1394</v>
      </c>
      <c r="Y78" t="s">
        <v>874</v>
      </c>
      <c r="Z78" t="s">
        <v>861</v>
      </c>
      <c r="AA78" t="s">
        <v>875</v>
      </c>
      <c r="AF78" t="s">
        <v>1444</v>
      </c>
      <c r="AG78" t="s">
        <v>1260</v>
      </c>
      <c r="AH78" t="s">
        <v>1032</v>
      </c>
      <c r="AI78" t="s">
        <v>1226</v>
      </c>
      <c r="AJ78" t="s">
        <v>861</v>
      </c>
      <c r="AK78" t="s">
        <v>880</v>
      </c>
      <c r="AL78" t="s">
        <v>881</v>
      </c>
      <c r="AM78" t="s">
        <v>882</v>
      </c>
      <c r="AN78" t="s">
        <v>882</v>
      </c>
      <c r="AO78" t="s">
        <v>1654</v>
      </c>
      <c r="AP78" t="s">
        <v>1226</v>
      </c>
      <c r="AQ78" t="s">
        <v>1038</v>
      </c>
      <c r="AR78" t="s">
        <v>1038</v>
      </c>
      <c r="AS78" t="s">
        <v>1038</v>
      </c>
      <c r="AT78" t="s">
        <v>1038</v>
      </c>
      <c r="AU78" t="s">
        <v>886</v>
      </c>
      <c r="AW78" t="s">
        <v>1265</v>
      </c>
      <c r="AX78" t="s">
        <v>1061</v>
      </c>
      <c r="AZ78" t="s">
        <v>1017</v>
      </c>
      <c r="BA78" t="s">
        <v>1151</v>
      </c>
      <c r="BB78" t="s">
        <v>1061</v>
      </c>
      <c r="BK78" t="s">
        <v>1134</v>
      </c>
      <c r="BL78">
        <v>1100</v>
      </c>
      <c r="BM78">
        <v>63.54</v>
      </c>
      <c r="BN78">
        <v>8447.2000000000007</v>
      </c>
      <c r="BO78">
        <v>26324.04</v>
      </c>
      <c r="BP78">
        <v>26324.04</v>
      </c>
      <c r="BQ78">
        <v>29213.56</v>
      </c>
      <c r="BR78">
        <v>2889.53</v>
      </c>
      <c r="BS78" t="s">
        <v>892</v>
      </c>
      <c r="BT78">
        <v>2886</v>
      </c>
      <c r="BV78" t="s">
        <v>1642</v>
      </c>
      <c r="BW78" t="s">
        <v>1643</v>
      </c>
      <c r="BX78" t="s">
        <v>895</v>
      </c>
      <c r="BY78" t="s">
        <v>1644</v>
      </c>
      <c r="CD78" t="s">
        <v>1655</v>
      </c>
      <c r="CG78" t="s">
        <v>1656</v>
      </c>
      <c r="CH78" t="s">
        <v>994</v>
      </c>
      <c r="CI78" t="s">
        <v>1656</v>
      </c>
      <c r="CJ78" t="s">
        <v>1656</v>
      </c>
      <c r="CM78" t="s">
        <v>1044</v>
      </c>
      <c r="CN78" t="s">
        <v>1045</v>
      </c>
      <c r="CO78" t="s">
        <v>1657</v>
      </c>
      <c r="CP78" t="s">
        <v>1157</v>
      </c>
      <c r="CT78" t="s">
        <v>901</v>
      </c>
    </row>
    <row r="79" spans="1:98" x14ac:dyDescent="0.15">
      <c r="A79" t="s">
        <v>861</v>
      </c>
      <c r="B79" t="s">
        <v>862</v>
      </c>
      <c r="C79" t="s">
        <v>372</v>
      </c>
      <c r="D79" t="s">
        <v>372</v>
      </c>
      <c r="E79" t="s">
        <v>372</v>
      </c>
      <c r="F79" t="s">
        <v>863</v>
      </c>
      <c r="G79" t="s">
        <v>1025</v>
      </c>
      <c r="H79" t="s">
        <v>865</v>
      </c>
      <c r="I79" t="s">
        <v>371</v>
      </c>
      <c r="J79" t="s">
        <v>1658</v>
      </c>
      <c r="K79" t="s">
        <v>977</v>
      </c>
      <c r="L79" t="s">
        <v>868</v>
      </c>
      <c r="N79" t="s">
        <v>861</v>
      </c>
      <c r="O79">
        <v>0</v>
      </c>
      <c r="P79" t="s">
        <v>869</v>
      </c>
      <c r="Q79" t="s">
        <v>125</v>
      </c>
      <c r="R79" t="s">
        <v>870</v>
      </c>
      <c r="S79" t="s">
        <v>871</v>
      </c>
      <c r="T79" t="s">
        <v>1440</v>
      </c>
      <c r="U79" t="s">
        <v>1440</v>
      </c>
      <c r="V79" t="s">
        <v>1394</v>
      </c>
      <c r="Y79" t="s">
        <v>874</v>
      </c>
      <c r="Z79" t="s">
        <v>861</v>
      </c>
      <c r="AA79" t="s">
        <v>875</v>
      </c>
      <c r="AF79" t="s">
        <v>1444</v>
      </c>
      <c r="AG79" t="s">
        <v>1260</v>
      </c>
      <c r="AH79" t="s">
        <v>1032</v>
      </c>
      <c r="AI79" t="s">
        <v>1226</v>
      </c>
      <c r="AJ79" t="s">
        <v>861</v>
      </c>
      <c r="AK79" t="s">
        <v>880</v>
      </c>
      <c r="AL79" t="s">
        <v>881</v>
      </c>
      <c r="AM79" t="s">
        <v>882</v>
      </c>
      <c r="AN79" t="s">
        <v>882</v>
      </c>
      <c r="AO79" t="s">
        <v>1659</v>
      </c>
      <c r="AP79" t="s">
        <v>1226</v>
      </c>
      <c r="AQ79" t="s">
        <v>1265</v>
      </c>
      <c r="AR79" t="s">
        <v>1265</v>
      </c>
      <c r="AS79" t="s">
        <v>1265</v>
      </c>
      <c r="AT79" t="s">
        <v>1265</v>
      </c>
      <c r="AU79" t="s">
        <v>886</v>
      </c>
      <c r="AW79" t="s">
        <v>1660</v>
      </c>
      <c r="AX79" t="s">
        <v>1061</v>
      </c>
      <c r="AZ79" t="s">
        <v>1266</v>
      </c>
      <c r="BA79" t="s">
        <v>1151</v>
      </c>
      <c r="BK79" t="s">
        <v>1134</v>
      </c>
      <c r="BL79">
        <v>724</v>
      </c>
      <c r="BM79">
        <v>64.3</v>
      </c>
      <c r="BN79">
        <v>6796.8</v>
      </c>
      <c r="BO79">
        <v>13521.42</v>
      </c>
      <c r="BP79">
        <v>13521.42</v>
      </c>
      <c r="BQ79">
        <v>16409.41</v>
      </c>
      <c r="BR79">
        <v>2887.99</v>
      </c>
      <c r="BS79" t="s">
        <v>892</v>
      </c>
      <c r="BT79">
        <v>2886</v>
      </c>
      <c r="BV79" t="s">
        <v>1642</v>
      </c>
      <c r="BW79" t="s">
        <v>1643</v>
      </c>
      <c r="BX79" t="s">
        <v>895</v>
      </c>
      <c r="BY79" t="s">
        <v>1661</v>
      </c>
      <c r="CD79" t="s">
        <v>1655</v>
      </c>
      <c r="CG79" t="s">
        <v>1662</v>
      </c>
      <c r="CH79" t="s">
        <v>994</v>
      </c>
      <c r="CI79" t="s">
        <v>1662</v>
      </c>
      <c r="CJ79" t="s">
        <v>1662</v>
      </c>
      <c r="CM79" t="s">
        <v>1044</v>
      </c>
      <c r="CN79" t="s">
        <v>1045</v>
      </c>
      <c r="CO79" t="s">
        <v>1663</v>
      </c>
      <c r="CP79" t="s">
        <v>1157</v>
      </c>
      <c r="CT79" t="s">
        <v>901</v>
      </c>
    </row>
    <row r="80" spans="1:98" x14ac:dyDescent="0.15">
      <c r="A80" t="s">
        <v>861</v>
      </c>
      <c r="B80" t="s">
        <v>862</v>
      </c>
      <c r="C80" t="s">
        <v>252</v>
      </c>
      <c r="D80" t="s">
        <v>252</v>
      </c>
      <c r="E80" t="s">
        <v>252</v>
      </c>
      <c r="F80" t="s">
        <v>863</v>
      </c>
      <c r="G80" t="s">
        <v>1025</v>
      </c>
      <c r="H80" t="s">
        <v>865</v>
      </c>
      <c r="I80" t="s">
        <v>251</v>
      </c>
      <c r="J80" t="s">
        <v>1664</v>
      </c>
      <c r="K80" t="s">
        <v>977</v>
      </c>
      <c r="L80" t="s">
        <v>868</v>
      </c>
      <c r="N80" t="s">
        <v>861</v>
      </c>
      <c r="O80">
        <v>0</v>
      </c>
      <c r="P80" t="s">
        <v>869</v>
      </c>
      <c r="Q80" t="s">
        <v>125</v>
      </c>
      <c r="R80" t="s">
        <v>870</v>
      </c>
      <c r="S80" t="s">
        <v>871</v>
      </c>
      <c r="T80" t="s">
        <v>1440</v>
      </c>
      <c r="U80" t="s">
        <v>1440</v>
      </c>
      <c r="V80" t="s">
        <v>1394</v>
      </c>
      <c r="Y80" t="s">
        <v>874</v>
      </c>
      <c r="Z80" t="s">
        <v>861</v>
      </c>
      <c r="AA80" t="s">
        <v>875</v>
      </c>
      <c r="AF80" t="s">
        <v>1444</v>
      </c>
      <c r="AG80" t="s">
        <v>1260</v>
      </c>
      <c r="AH80" t="s">
        <v>1032</v>
      </c>
      <c r="AI80" t="s">
        <v>1226</v>
      </c>
      <c r="AJ80" t="s">
        <v>861</v>
      </c>
      <c r="AK80" t="s">
        <v>880</v>
      </c>
      <c r="AL80" t="s">
        <v>881</v>
      </c>
      <c r="AM80" t="s">
        <v>882</v>
      </c>
      <c r="AN80" t="s">
        <v>882</v>
      </c>
      <c r="AO80" t="s">
        <v>1665</v>
      </c>
      <c r="AP80" t="s">
        <v>1226</v>
      </c>
      <c r="AQ80" t="s">
        <v>1265</v>
      </c>
      <c r="AR80" t="s">
        <v>1265</v>
      </c>
      <c r="AS80" t="s">
        <v>1265</v>
      </c>
      <c r="AT80" t="s">
        <v>1265</v>
      </c>
      <c r="AU80" t="s">
        <v>886</v>
      </c>
      <c r="AW80" t="s">
        <v>1660</v>
      </c>
      <c r="AX80" t="s">
        <v>1061</v>
      </c>
      <c r="AZ80" t="s">
        <v>1266</v>
      </c>
      <c r="BA80" t="s">
        <v>1151</v>
      </c>
      <c r="BK80" t="s">
        <v>1134</v>
      </c>
      <c r="BL80">
        <v>1174</v>
      </c>
      <c r="BM80">
        <v>65.47</v>
      </c>
      <c r="BN80">
        <v>14021.5</v>
      </c>
      <c r="BO80">
        <v>26978.17</v>
      </c>
      <c r="BP80">
        <v>26978.17</v>
      </c>
      <c r="BQ80">
        <v>29867.79</v>
      </c>
      <c r="BR80">
        <v>2889.61</v>
      </c>
      <c r="BS80" t="s">
        <v>892</v>
      </c>
      <c r="BT80">
        <v>2886</v>
      </c>
      <c r="BV80" t="s">
        <v>1642</v>
      </c>
      <c r="BW80" t="s">
        <v>1643</v>
      </c>
      <c r="BX80" t="s">
        <v>895</v>
      </c>
      <c r="BY80" t="s">
        <v>1661</v>
      </c>
      <c r="CD80" t="s">
        <v>1666</v>
      </c>
      <c r="CG80" t="s">
        <v>1667</v>
      </c>
      <c r="CH80" t="s">
        <v>994</v>
      </c>
      <c r="CI80" t="s">
        <v>1667</v>
      </c>
      <c r="CJ80" t="s">
        <v>1667</v>
      </c>
      <c r="CM80" t="s">
        <v>1044</v>
      </c>
      <c r="CN80" t="s">
        <v>1045</v>
      </c>
      <c r="CO80" t="s">
        <v>1668</v>
      </c>
      <c r="CP80" t="s">
        <v>1157</v>
      </c>
      <c r="CT80" t="s">
        <v>901</v>
      </c>
    </row>
    <row r="81" spans="1:98" x14ac:dyDescent="0.15">
      <c r="A81" t="s">
        <v>861</v>
      </c>
      <c r="B81" t="s">
        <v>862</v>
      </c>
      <c r="C81" t="s">
        <v>378</v>
      </c>
      <c r="D81" t="s">
        <v>378</v>
      </c>
      <c r="E81" t="s">
        <v>378</v>
      </c>
      <c r="F81" t="s">
        <v>863</v>
      </c>
      <c r="G81" t="s">
        <v>1025</v>
      </c>
      <c r="H81" t="s">
        <v>865</v>
      </c>
      <c r="I81" t="s">
        <v>377</v>
      </c>
      <c r="J81" t="s">
        <v>1669</v>
      </c>
      <c r="K81" t="s">
        <v>977</v>
      </c>
      <c r="L81" t="s">
        <v>868</v>
      </c>
      <c r="N81" t="s">
        <v>861</v>
      </c>
      <c r="O81">
        <v>0</v>
      </c>
      <c r="P81" t="s">
        <v>869</v>
      </c>
      <c r="Q81" t="s">
        <v>125</v>
      </c>
      <c r="R81" t="s">
        <v>870</v>
      </c>
      <c r="S81" t="s">
        <v>871</v>
      </c>
      <c r="T81" t="s">
        <v>1440</v>
      </c>
      <c r="U81" t="s">
        <v>1440</v>
      </c>
      <c r="V81" t="s">
        <v>1394</v>
      </c>
      <c r="Y81" t="s">
        <v>910</v>
      </c>
      <c r="Z81" t="s">
        <v>861</v>
      </c>
      <c r="AA81" t="s">
        <v>875</v>
      </c>
      <c r="AF81" t="s">
        <v>1444</v>
      </c>
      <c r="AG81" t="s">
        <v>1260</v>
      </c>
      <c r="AH81" t="s">
        <v>1032</v>
      </c>
      <c r="AI81" t="s">
        <v>1226</v>
      </c>
      <c r="AJ81" t="s">
        <v>861</v>
      </c>
      <c r="AK81" t="s">
        <v>880</v>
      </c>
      <c r="AL81" t="s">
        <v>881</v>
      </c>
      <c r="AM81" t="s">
        <v>882</v>
      </c>
      <c r="AN81" t="s">
        <v>882</v>
      </c>
      <c r="AO81" t="s">
        <v>1670</v>
      </c>
      <c r="AP81" t="s">
        <v>1226</v>
      </c>
      <c r="AQ81" t="s">
        <v>1265</v>
      </c>
      <c r="AR81" t="s">
        <v>1265</v>
      </c>
      <c r="AS81" t="s">
        <v>1265</v>
      </c>
      <c r="AT81" t="s">
        <v>1265</v>
      </c>
      <c r="AU81" t="s">
        <v>886</v>
      </c>
      <c r="AW81" t="s">
        <v>1660</v>
      </c>
      <c r="AX81" t="s">
        <v>1061</v>
      </c>
      <c r="AZ81" t="s">
        <v>1266</v>
      </c>
      <c r="BA81" t="s">
        <v>1151</v>
      </c>
      <c r="BK81" t="s">
        <v>1134</v>
      </c>
      <c r="BL81">
        <v>913</v>
      </c>
      <c r="BM81">
        <v>65.14</v>
      </c>
      <c r="BN81">
        <v>8213.5</v>
      </c>
      <c r="BO81">
        <v>21404.77</v>
      </c>
      <c r="BP81">
        <v>21404.77</v>
      </c>
      <c r="BQ81">
        <v>24293.72</v>
      </c>
      <c r="BR81">
        <v>2888.94</v>
      </c>
      <c r="BS81" t="s">
        <v>892</v>
      </c>
      <c r="BT81">
        <v>2886</v>
      </c>
      <c r="BV81" t="s">
        <v>1642</v>
      </c>
      <c r="BW81" t="s">
        <v>1643</v>
      </c>
      <c r="BX81" t="s">
        <v>895</v>
      </c>
      <c r="BY81" t="s">
        <v>933</v>
      </c>
      <c r="CD81" t="s">
        <v>1671</v>
      </c>
      <c r="CG81" t="s">
        <v>1672</v>
      </c>
      <c r="CH81" t="s">
        <v>994</v>
      </c>
      <c r="CI81" t="s">
        <v>1672</v>
      </c>
      <c r="CJ81" t="s">
        <v>1672</v>
      </c>
      <c r="CM81" t="s">
        <v>1044</v>
      </c>
      <c r="CN81" t="s">
        <v>1045</v>
      </c>
      <c r="CO81" t="s">
        <v>1673</v>
      </c>
      <c r="CP81" t="s">
        <v>1157</v>
      </c>
      <c r="CT81" t="s">
        <v>901</v>
      </c>
    </row>
    <row r="82" spans="1:98" x14ac:dyDescent="0.15">
      <c r="A82" t="s">
        <v>861</v>
      </c>
      <c r="B82" t="s">
        <v>862</v>
      </c>
      <c r="C82" t="s">
        <v>722</v>
      </c>
      <c r="D82" t="s">
        <v>722</v>
      </c>
      <c r="E82" t="s">
        <v>722</v>
      </c>
      <c r="F82" t="s">
        <v>863</v>
      </c>
      <c r="G82" t="s">
        <v>864</v>
      </c>
      <c r="H82" t="s">
        <v>863</v>
      </c>
      <c r="I82" t="s">
        <v>721</v>
      </c>
      <c r="J82" t="s">
        <v>1674</v>
      </c>
      <c r="K82" t="s">
        <v>867</v>
      </c>
      <c r="L82" t="s">
        <v>868</v>
      </c>
      <c r="N82" t="s">
        <v>1259</v>
      </c>
      <c r="O82">
        <v>0</v>
      </c>
      <c r="P82" t="s">
        <v>1180</v>
      </c>
      <c r="Q82" t="s">
        <v>15</v>
      </c>
      <c r="R82" t="s">
        <v>919</v>
      </c>
      <c r="S82" t="s">
        <v>954</v>
      </c>
      <c r="T82" t="s">
        <v>1370</v>
      </c>
      <c r="U82" t="s">
        <v>1370</v>
      </c>
      <c r="V82" t="s">
        <v>900</v>
      </c>
      <c r="W82" t="s">
        <v>1276</v>
      </c>
      <c r="Y82" t="s">
        <v>874</v>
      </c>
      <c r="Z82" t="s">
        <v>861</v>
      </c>
      <c r="AA82" t="s">
        <v>922</v>
      </c>
      <c r="AD82" t="s">
        <v>869</v>
      </c>
      <c r="AJ82" t="s">
        <v>861</v>
      </c>
      <c r="AK82" t="s">
        <v>880</v>
      </c>
      <c r="AP82" t="s">
        <v>1266</v>
      </c>
      <c r="AZ82" t="s">
        <v>1373</v>
      </c>
      <c r="BK82" t="s">
        <v>891</v>
      </c>
      <c r="BL82">
        <v>778</v>
      </c>
      <c r="BM82">
        <v>65.73</v>
      </c>
      <c r="BN82">
        <v>18645.900000000001</v>
      </c>
      <c r="BO82">
        <v>25582.07</v>
      </c>
      <c r="BP82">
        <v>25582.07</v>
      </c>
      <c r="BQ82">
        <v>25582.07</v>
      </c>
      <c r="BR82">
        <v>0</v>
      </c>
      <c r="BS82" t="s">
        <v>892</v>
      </c>
      <c r="BT82">
        <v>2859</v>
      </c>
      <c r="BV82" t="s">
        <v>1459</v>
      </c>
      <c r="BW82" t="s">
        <v>1460</v>
      </c>
      <c r="BX82" t="s">
        <v>1007</v>
      </c>
      <c r="BY82" t="s">
        <v>1478</v>
      </c>
      <c r="CD82" t="s">
        <v>1675</v>
      </c>
      <c r="CG82" t="s">
        <v>1674</v>
      </c>
      <c r="CH82" t="s">
        <v>898</v>
      </c>
      <c r="CI82" t="s">
        <v>1676</v>
      </c>
      <c r="CJ82" t="s">
        <v>1676</v>
      </c>
      <c r="CP82" t="s">
        <v>1464</v>
      </c>
      <c r="CT82" t="s">
        <v>901</v>
      </c>
    </row>
    <row r="83" spans="1:98" x14ac:dyDescent="0.15">
      <c r="A83" t="s">
        <v>861</v>
      </c>
      <c r="B83" t="s">
        <v>862</v>
      </c>
      <c r="C83" t="s">
        <v>102</v>
      </c>
      <c r="D83" t="s">
        <v>102</v>
      </c>
      <c r="E83" t="s">
        <v>102</v>
      </c>
      <c r="F83" t="s">
        <v>863</v>
      </c>
      <c r="G83" t="s">
        <v>864</v>
      </c>
      <c r="H83" t="s">
        <v>937</v>
      </c>
      <c r="I83" t="s">
        <v>101</v>
      </c>
      <c r="J83" t="s">
        <v>1677</v>
      </c>
      <c r="K83" t="s">
        <v>977</v>
      </c>
      <c r="L83" t="s">
        <v>868</v>
      </c>
      <c r="N83" t="s">
        <v>861</v>
      </c>
      <c r="O83">
        <v>0</v>
      </c>
      <c r="P83" t="s">
        <v>869</v>
      </c>
      <c r="Q83" t="s">
        <v>15</v>
      </c>
      <c r="R83" t="s">
        <v>870</v>
      </c>
      <c r="S83" t="s">
        <v>954</v>
      </c>
      <c r="T83" t="s">
        <v>988</v>
      </c>
      <c r="U83" t="s">
        <v>988</v>
      </c>
      <c r="V83" t="s">
        <v>1013</v>
      </c>
      <c r="W83" t="s">
        <v>999</v>
      </c>
      <c r="Y83" t="s">
        <v>910</v>
      </c>
      <c r="Z83" t="s">
        <v>861</v>
      </c>
      <c r="AA83" t="s">
        <v>958</v>
      </c>
      <c r="AB83" t="s">
        <v>1678</v>
      </c>
      <c r="AD83" t="s">
        <v>1484</v>
      </c>
      <c r="AF83" t="s">
        <v>1679</v>
      </c>
      <c r="AG83" t="s">
        <v>988</v>
      </c>
      <c r="AH83" t="s">
        <v>1680</v>
      </c>
      <c r="AJ83" t="s">
        <v>861</v>
      </c>
      <c r="AK83" t="s">
        <v>880</v>
      </c>
      <c r="AL83" t="s">
        <v>1001</v>
      </c>
      <c r="AM83" t="s">
        <v>967</v>
      </c>
      <c r="AP83" t="s">
        <v>1526</v>
      </c>
      <c r="AQ83" t="s">
        <v>1002</v>
      </c>
      <c r="AS83" t="s">
        <v>1002</v>
      </c>
      <c r="AT83" t="s">
        <v>1002</v>
      </c>
      <c r="AU83" t="s">
        <v>886</v>
      </c>
      <c r="AW83" t="s">
        <v>883</v>
      </c>
      <c r="AX83" t="s">
        <v>1526</v>
      </c>
      <c r="AZ83" t="s">
        <v>1373</v>
      </c>
      <c r="BA83" t="s">
        <v>968</v>
      </c>
      <c r="BK83" t="s">
        <v>1134</v>
      </c>
      <c r="BL83">
        <v>545</v>
      </c>
      <c r="BM83">
        <v>69.459999999999994</v>
      </c>
      <c r="BN83">
        <v>13692.5</v>
      </c>
      <c r="BO83">
        <v>54478.55</v>
      </c>
      <c r="BP83">
        <v>54478.55</v>
      </c>
      <c r="BQ83">
        <v>57371.49</v>
      </c>
      <c r="BR83">
        <v>2892.94</v>
      </c>
      <c r="BS83" t="s">
        <v>892</v>
      </c>
      <c r="BT83">
        <v>2886</v>
      </c>
      <c r="BV83" t="s">
        <v>1005</v>
      </c>
      <c r="BW83" t="s">
        <v>1529</v>
      </c>
      <c r="BX83" t="s">
        <v>895</v>
      </c>
      <c r="BY83" t="s">
        <v>1281</v>
      </c>
      <c r="CD83" t="s">
        <v>1681</v>
      </c>
      <c r="CG83" t="s">
        <v>1682</v>
      </c>
      <c r="CH83" t="s">
        <v>994</v>
      </c>
      <c r="CI83" t="s">
        <v>1682</v>
      </c>
      <c r="CJ83" t="s">
        <v>1682</v>
      </c>
      <c r="CP83" t="s">
        <v>1013</v>
      </c>
      <c r="CT83" t="s">
        <v>901</v>
      </c>
    </row>
    <row r="84" spans="1:98" x14ac:dyDescent="0.15">
      <c r="A84" t="s">
        <v>861</v>
      </c>
      <c r="B84" t="s">
        <v>862</v>
      </c>
      <c r="C84" t="s">
        <v>720</v>
      </c>
      <c r="D84" t="s">
        <v>720</v>
      </c>
      <c r="E84" t="s">
        <v>720</v>
      </c>
      <c r="F84" t="s">
        <v>863</v>
      </c>
      <c r="G84" t="s">
        <v>864</v>
      </c>
      <c r="H84" t="s">
        <v>863</v>
      </c>
      <c r="I84" t="s">
        <v>719</v>
      </c>
      <c r="J84" t="s">
        <v>1683</v>
      </c>
      <c r="K84" t="s">
        <v>977</v>
      </c>
      <c r="L84" t="s">
        <v>868</v>
      </c>
      <c r="N84" t="s">
        <v>861</v>
      </c>
      <c r="O84">
        <v>0</v>
      </c>
      <c r="P84" t="s">
        <v>869</v>
      </c>
      <c r="Q84" t="s">
        <v>15</v>
      </c>
      <c r="R84" t="s">
        <v>870</v>
      </c>
      <c r="S84" t="s">
        <v>954</v>
      </c>
      <c r="T84" t="s">
        <v>1684</v>
      </c>
      <c r="U84" t="s">
        <v>1684</v>
      </c>
      <c r="V84" t="s">
        <v>1013</v>
      </c>
      <c r="W84" t="s">
        <v>1267</v>
      </c>
      <c r="Y84" t="s">
        <v>874</v>
      </c>
      <c r="Z84" t="s">
        <v>861</v>
      </c>
      <c r="AA84" t="s">
        <v>922</v>
      </c>
      <c r="AJ84" t="s">
        <v>861</v>
      </c>
      <c r="AK84" t="s">
        <v>880</v>
      </c>
      <c r="AL84" t="s">
        <v>1001</v>
      </c>
      <c r="AM84" t="s">
        <v>967</v>
      </c>
      <c r="AP84" t="s">
        <v>925</v>
      </c>
      <c r="AQ84" t="s">
        <v>965</v>
      </c>
      <c r="AS84" t="s">
        <v>965</v>
      </c>
      <c r="AT84" t="s">
        <v>965</v>
      </c>
      <c r="AU84" t="s">
        <v>886</v>
      </c>
      <c r="AW84" t="s">
        <v>969</v>
      </c>
      <c r="AX84" t="s">
        <v>1276</v>
      </c>
      <c r="AZ84" t="s">
        <v>1051</v>
      </c>
      <c r="BA84" t="s">
        <v>1003</v>
      </c>
      <c r="BK84" t="s">
        <v>1134</v>
      </c>
      <c r="BL84">
        <v>594</v>
      </c>
      <c r="BM84">
        <v>65.11</v>
      </c>
      <c r="BN84">
        <v>10776.62</v>
      </c>
      <c r="BO84">
        <v>22272.959999999999</v>
      </c>
      <c r="BP84">
        <v>22272.959999999999</v>
      </c>
      <c r="BQ84">
        <v>25161.99</v>
      </c>
      <c r="BR84">
        <v>2889.04</v>
      </c>
      <c r="BS84" t="s">
        <v>892</v>
      </c>
      <c r="BT84">
        <v>2886</v>
      </c>
      <c r="BV84" t="s">
        <v>1472</v>
      </c>
      <c r="BW84" t="s">
        <v>1473</v>
      </c>
      <c r="BX84" t="s">
        <v>895</v>
      </c>
      <c r="BY84" t="s">
        <v>1685</v>
      </c>
      <c r="CD84" t="s">
        <v>1531</v>
      </c>
      <c r="CG84" t="s">
        <v>1686</v>
      </c>
      <c r="CH84" t="s">
        <v>994</v>
      </c>
      <c r="CI84" t="s">
        <v>1686</v>
      </c>
      <c r="CJ84" t="s">
        <v>1686</v>
      </c>
      <c r="CP84" t="s">
        <v>1275</v>
      </c>
      <c r="CT84" t="s">
        <v>901</v>
      </c>
    </row>
    <row r="85" spans="1:98" x14ac:dyDescent="0.15">
      <c r="A85" t="s">
        <v>861</v>
      </c>
      <c r="B85" t="s">
        <v>862</v>
      </c>
      <c r="C85" t="s">
        <v>741</v>
      </c>
      <c r="D85" t="s">
        <v>741</v>
      </c>
      <c r="E85" t="s">
        <v>741</v>
      </c>
      <c r="F85" t="s">
        <v>863</v>
      </c>
      <c r="G85" t="s">
        <v>864</v>
      </c>
      <c r="H85" t="s">
        <v>863</v>
      </c>
      <c r="I85" t="s">
        <v>740</v>
      </c>
      <c r="J85" t="s">
        <v>1687</v>
      </c>
      <c r="K85" t="s">
        <v>977</v>
      </c>
      <c r="L85" t="s">
        <v>868</v>
      </c>
      <c r="N85" t="s">
        <v>861</v>
      </c>
      <c r="O85">
        <v>0</v>
      </c>
      <c r="P85" t="s">
        <v>869</v>
      </c>
      <c r="Q85" t="s">
        <v>15</v>
      </c>
      <c r="R85" t="s">
        <v>870</v>
      </c>
      <c r="S85" t="s">
        <v>954</v>
      </c>
      <c r="T85" t="s">
        <v>1684</v>
      </c>
      <c r="U85" t="s">
        <v>1684</v>
      </c>
      <c r="V85" t="s">
        <v>1013</v>
      </c>
      <c r="W85" t="s">
        <v>1267</v>
      </c>
      <c r="Y85" t="s">
        <v>874</v>
      </c>
      <c r="Z85" t="s">
        <v>861</v>
      </c>
      <c r="AA85" t="s">
        <v>922</v>
      </c>
      <c r="AJ85" t="s">
        <v>861</v>
      </c>
      <c r="AK85" t="s">
        <v>880</v>
      </c>
      <c r="AL85" t="s">
        <v>1001</v>
      </c>
      <c r="AM85" t="s">
        <v>967</v>
      </c>
      <c r="AP85" t="s">
        <v>925</v>
      </c>
      <c r="AQ85" t="s">
        <v>965</v>
      </c>
      <c r="AS85" t="s">
        <v>965</v>
      </c>
      <c r="AT85" t="s">
        <v>965</v>
      </c>
      <c r="AU85" t="s">
        <v>886</v>
      </c>
      <c r="AW85" t="s">
        <v>969</v>
      </c>
      <c r="AX85" t="s">
        <v>1276</v>
      </c>
      <c r="AZ85" t="s">
        <v>1051</v>
      </c>
      <c r="BA85" t="s">
        <v>1003</v>
      </c>
      <c r="BK85" t="s">
        <v>1134</v>
      </c>
      <c r="BL85">
        <v>484</v>
      </c>
      <c r="BM85">
        <v>64.23</v>
      </c>
      <c r="BN85">
        <v>5871.8</v>
      </c>
      <c r="BO85">
        <v>15528.62</v>
      </c>
      <c r="BP85">
        <v>15528.62</v>
      </c>
      <c r="BQ85">
        <v>18416.84</v>
      </c>
      <c r="BR85">
        <v>2888.23</v>
      </c>
      <c r="BS85" t="s">
        <v>892</v>
      </c>
      <c r="BT85">
        <v>2886</v>
      </c>
      <c r="BV85" t="s">
        <v>1472</v>
      </c>
      <c r="BW85" t="s">
        <v>1473</v>
      </c>
      <c r="BX85" t="s">
        <v>895</v>
      </c>
      <c r="BY85" t="s">
        <v>1685</v>
      </c>
      <c r="CD85" t="s">
        <v>1688</v>
      </c>
      <c r="CG85" t="s">
        <v>1689</v>
      </c>
      <c r="CH85" t="s">
        <v>994</v>
      </c>
      <c r="CI85" t="s">
        <v>1689</v>
      </c>
      <c r="CJ85" t="s">
        <v>1689</v>
      </c>
      <c r="CP85" t="s">
        <v>1275</v>
      </c>
      <c r="CT85" t="s">
        <v>901</v>
      </c>
    </row>
    <row r="86" spans="1:98" x14ac:dyDescent="0.15">
      <c r="A86" t="s">
        <v>861</v>
      </c>
      <c r="B86" t="s">
        <v>862</v>
      </c>
      <c r="C86" t="s">
        <v>755</v>
      </c>
      <c r="D86" t="s">
        <v>755</v>
      </c>
      <c r="E86" t="s">
        <v>755</v>
      </c>
      <c r="F86" t="s">
        <v>863</v>
      </c>
      <c r="G86" t="s">
        <v>864</v>
      </c>
      <c r="H86" t="s">
        <v>863</v>
      </c>
      <c r="I86" t="s">
        <v>754</v>
      </c>
      <c r="J86" t="s">
        <v>1690</v>
      </c>
      <c r="K86" t="s">
        <v>977</v>
      </c>
      <c r="L86" t="s">
        <v>868</v>
      </c>
      <c r="N86" t="s">
        <v>1259</v>
      </c>
      <c r="O86">
        <v>0</v>
      </c>
      <c r="P86" t="s">
        <v>869</v>
      </c>
      <c r="Q86" t="s">
        <v>15</v>
      </c>
      <c r="R86" t="s">
        <v>870</v>
      </c>
      <c r="S86" t="s">
        <v>954</v>
      </c>
      <c r="T86" t="s">
        <v>1684</v>
      </c>
      <c r="U86" t="s">
        <v>1684</v>
      </c>
      <c r="V86" t="s">
        <v>1013</v>
      </c>
      <c r="W86" t="s">
        <v>1267</v>
      </c>
      <c r="Y86" t="s">
        <v>874</v>
      </c>
      <c r="Z86" t="s">
        <v>861</v>
      </c>
      <c r="AA86" t="s">
        <v>922</v>
      </c>
      <c r="AJ86" t="s">
        <v>861</v>
      </c>
      <c r="AK86" t="s">
        <v>880</v>
      </c>
      <c r="AL86" t="s">
        <v>1001</v>
      </c>
      <c r="AM86" t="s">
        <v>967</v>
      </c>
      <c r="AP86" t="s">
        <v>925</v>
      </c>
      <c r="AQ86" t="s">
        <v>965</v>
      </c>
      <c r="AS86" t="s">
        <v>965</v>
      </c>
      <c r="AT86" t="s">
        <v>965</v>
      </c>
      <c r="AU86" t="s">
        <v>886</v>
      </c>
      <c r="AW86" t="s">
        <v>969</v>
      </c>
      <c r="AX86" t="s">
        <v>1276</v>
      </c>
      <c r="AZ86" t="s">
        <v>1051</v>
      </c>
      <c r="BA86" t="s">
        <v>1003</v>
      </c>
      <c r="BK86" t="s">
        <v>1134</v>
      </c>
      <c r="BL86">
        <v>1182</v>
      </c>
      <c r="BM86">
        <v>63.49</v>
      </c>
      <c r="BN86">
        <v>9113</v>
      </c>
      <c r="BO86">
        <v>23084.94</v>
      </c>
      <c r="BP86">
        <v>23084.94</v>
      </c>
      <c r="BQ86">
        <v>25974.080000000002</v>
      </c>
      <c r="BR86">
        <v>2889.14</v>
      </c>
      <c r="BS86" t="s">
        <v>892</v>
      </c>
      <c r="BT86">
        <v>2886</v>
      </c>
      <c r="BV86" t="s">
        <v>1472</v>
      </c>
      <c r="BW86" t="s">
        <v>1473</v>
      </c>
      <c r="BX86" t="s">
        <v>895</v>
      </c>
      <c r="BY86" t="s">
        <v>1685</v>
      </c>
      <c r="CD86" t="s">
        <v>1688</v>
      </c>
      <c r="CG86" t="s">
        <v>1691</v>
      </c>
      <c r="CH86" t="s">
        <v>994</v>
      </c>
      <c r="CI86" t="s">
        <v>1691</v>
      </c>
      <c r="CJ86" t="s">
        <v>1691</v>
      </c>
      <c r="CP86" t="s">
        <v>1275</v>
      </c>
      <c r="CT86" t="s">
        <v>901</v>
      </c>
    </row>
    <row r="87" spans="1:98" x14ac:dyDescent="0.15">
      <c r="A87" t="s">
        <v>861</v>
      </c>
      <c r="B87" t="s">
        <v>862</v>
      </c>
      <c r="C87" t="s">
        <v>743</v>
      </c>
      <c r="D87" t="s">
        <v>743</v>
      </c>
      <c r="E87" t="s">
        <v>743</v>
      </c>
      <c r="F87" t="s">
        <v>863</v>
      </c>
      <c r="G87" t="s">
        <v>864</v>
      </c>
      <c r="H87" t="s">
        <v>863</v>
      </c>
      <c r="I87" t="s">
        <v>742</v>
      </c>
      <c r="J87" t="s">
        <v>1692</v>
      </c>
      <c r="K87" t="s">
        <v>977</v>
      </c>
      <c r="L87" t="s">
        <v>868</v>
      </c>
      <c r="N87" t="s">
        <v>861</v>
      </c>
      <c r="O87">
        <v>0</v>
      </c>
      <c r="P87" t="s">
        <v>869</v>
      </c>
      <c r="Q87" t="s">
        <v>15</v>
      </c>
      <c r="R87" t="s">
        <v>870</v>
      </c>
      <c r="S87" t="s">
        <v>954</v>
      </c>
      <c r="T87" t="s">
        <v>1684</v>
      </c>
      <c r="U87" t="s">
        <v>1684</v>
      </c>
      <c r="V87" t="s">
        <v>1013</v>
      </c>
      <c r="W87" t="s">
        <v>1267</v>
      </c>
      <c r="Y87" t="s">
        <v>874</v>
      </c>
      <c r="Z87" t="s">
        <v>861</v>
      </c>
      <c r="AA87" t="s">
        <v>922</v>
      </c>
      <c r="AJ87" t="s">
        <v>861</v>
      </c>
      <c r="AK87" t="s">
        <v>880</v>
      </c>
      <c r="AL87" t="s">
        <v>1001</v>
      </c>
      <c r="AM87" t="s">
        <v>967</v>
      </c>
      <c r="AP87" t="s">
        <v>925</v>
      </c>
      <c r="AQ87" t="s">
        <v>965</v>
      </c>
      <c r="AS87" t="s">
        <v>965</v>
      </c>
      <c r="AT87" t="s">
        <v>965</v>
      </c>
      <c r="AU87" t="s">
        <v>886</v>
      </c>
      <c r="AW87" t="s">
        <v>969</v>
      </c>
      <c r="AX87" t="s">
        <v>1276</v>
      </c>
      <c r="AZ87" t="s">
        <v>1051</v>
      </c>
      <c r="BA87" t="s">
        <v>1003</v>
      </c>
      <c r="BK87" t="s">
        <v>1134</v>
      </c>
      <c r="BL87">
        <v>715</v>
      </c>
      <c r="BM87">
        <v>65.73</v>
      </c>
      <c r="BN87">
        <v>9300</v>
      </c>
      <c r="BO87">
        <v>22198.33</v>
      </c>
      <c r="BP87">
        <v>22198.33</v>
      </c>
      <c r="BQ87">
        <v>25087.360000000001</v>
      </c>
      <c r="BR87">
        <v>2889.04</v>
      </c>
      <c r="BS87" t="s">
        <v>892</v>
      </c>
      <c r="BT87">
        <v>2886</v>
      </c>
      <c r="BV87" t="s">
        <v>1472</v>
      </c>
      <c r="BW87" t="s">
        <v>1473</v>
      </c>
      <c r="BX87" t="s">
        <v>895</v>
      </c>
      <c r="BY87" t="s">
        <v>1693</v>
      </c>
      <c r="CD87" t="s">
        <v>1694</v>
      </c>
      <c r="CG87" t="s">
        <v>1695</v>
      </c>
      <c r="CH87" t="s">
        <v>994</v>
      </c>
      <c r="CI87" t="s">
        <v>1695</v>
      </c>
      <c r="CJ87" t="s">
        <v>1695</v>
      </c>
      <c r="CP87" t="s">
        <v>1275</v>
      </c>
      <c r="CT87" t="s">
        <v>901</v>
      </c>
    </row>
    <row r="88" spans="1:98" x14ac:dyDescent="0.15">
      <c r="A88" t="s">
        <v>861</v>
      </c>
      <c r="B88" t="s">
        <v>862</v>
      </c>
      <c r="C88" t="s">
        <v>688</v>
      </c>
      <c r="D88" t="s">
        <v>688</v>
      </c>
      <c r="E88" t="s">
        <v>688</v>
      </c>
      <c r="F88" t="s">
        <v>863</v>
      </c>
      <c r="G88" t="s">
        <v>864</v>
      </c>
      <c r="H88" t="s">
        <v>863</v>
      </c>
      <c r="I88" t="s">
        <v>687</v>
      </c>
      <c r="J88" t="s">
        <v>1696</v>
      </c>
      <c r="K88" t="s">
        <v>977</v>
      </c>
      <c r="L88" t="s">
        <v>868</v>
      </c>
      <c r="N88" t="s">
        <v>861</v>
      </c>
      <c r="O88">
        <v>0</v>
      </c>
      <c r="P88" t="s">
        <v>869</v>
      </c>
      <c r="Q88" t="s">
        <v>15</v>
      </c>
      <c r="R88" t="s">
        <v>870</v>
      </c>
      <c r="S88" t="s">
        <v>954</v>
      </c>
      <c r="T88" t="s">
        <v>1684</v>
      </c>
      <c r="U88" t="s">
        <v>1684</v>
      </c>
      <c r="V88" t="s">
        <v>1013</v>
      </c>
      <c r="W88" t="s">
        <v>1267</v>
      </c>
      <c r="Y88" t="s">
        <v>874</v>
      </c>
      <c r="Z88" t="s">
        <v>861</v>
      </c>
      <c r="AA88" t="s">
        <v>922</v>
      </c>
      <c r="AJ88" t="s">
        <v>1259</v>
      </c>
      <c r="AK88" t="s">
        <v>880</v>
      </c>
      <c r="AL88" t="s">
        <v>1001</v>
      </c>
      <c r="AM88" t="s">
        <v>967</v>
      </c>
      <c r="AP88" t="s">
        <v>925</v>
      </c>
      <c r="AQ88" t="s">
        <v>965</v>
      </c>
      <c r="AS88" t="s">
        <v>969</v>
      </c>
      <c r="AT88" t="s">
        <v>965</v>
      </c>
      <c r="AU88" t="s">
        <v>886</v>
      </c>
      <c r="AW88" t="s">
        <v>969</v>
      </c>
      <c r="AX88" t="s">
        <v>1276</v>
      </c>
      <c r="AZ88" t="s">
        <v>1051</v>
      </c>
      <c r="BA88" t="s">
        <v>1003</v>
      </c>
      <c r="BK88" t="s">
        <v>1134</v>
      </c>
      <c r="BL88">
        <v>544</v>
      </c>
      <c r="BM88">
        <v>68.19</v>
      </c>
      <c r="BN88">
        <v>9738.7999999999993</v>
      </c>
      <c r="BO88">
        <v>19585.55</v>
      </c>
      <c r="BP88">
        <v>19585.55</v>
      </c>
      <c r="BQ88">
        <v>22474.26</v>
      </c>
      <c r="BR88">
        <v>2888.72</v>
      </c>
      <c r="BS88" t="s">
        <v>892</v>
      </c>
      <c r="BT88">
        <v>2886</v>
      </c>
      <c r="BV88" t="s">
        <v>1472</v>
      </c>
      <c r="BW88" t="s">
        <v>1473</v>
      </c>
      <c r="BX88" t="s">
        <v>895</v>
      </c>
      <c r="BY88" t="s">
        <v>1697</v>
      </c>
      <c r="CD88" t="s">
        <v>1698</v>
      </c>
      <c r="CG88" t="s">
        <v>1699</v>
      </c>
      <c r="CH88" t="s">
        <v>994</v>
      </c>
      <c r="CI88" t="s">
        <v>1699</v>
      </c>
      <c r="CJ88" t="s">
        <v>1699</v>
      </c>
      <c r="CP88" t="s">
        <v>1275</v>
      </c>
      <c r="CT88" t="s">
        <v>901</v>
      </c>
    </row>
    <row r="89" spans="1:98" x14ac:dyDescent="0.15">
      <c r="A89" t="s">
        <v>861</v>
      </c>
      <c r="B89" t="s">
        <v>862</v>
      </c>
      <c r="C89" t="s">
        <v>686</v>
      </c>
      <c r="D89" t="s">
        <v>686</v>
      </c>
      <c r="E89" t="s">
        <v>686</v>
      </c>
      <c r="F89" t="s">
        <v>863</v>
      </c>
      <c r="G89" t="s">
        <v>864</v>
      </c>
      <c r="H89" t="s">
        <v>863</v>
      </c>
      <c r="I89" t="s">
        <v>684</v>
      </c>
      <c r="J89" t="s">
        <v>1700</v>
      </c>
      <c r="K89" t="s">
        <v>977</v>
      </c>
      <c r="L89" t="s">
        <v>868</v>
      </c>
      <c r="N89" t="s">
        <v>861</v>
      </c>
      <c r="O89">
        <v>0</v>
      </c>
      <c r="P89" t="s">
        <v>869</v>
      </c>
      <c r="Q89" t="s">
        <v>15</v>
      </c>
      <c r="R89" t="s">
        <v>870</v>
      </c>
      <c r="S89" t="s">
        <v>954</v>
      </c>
      <c r="T89" t="s">
        <v>1684</v>
      </c>
      <c r="U89" t="s">
        <v>1684</v>
      </c>
      <c r="V89" t="s">
        <v>1013</v>
      </c>
      <c r="W89" t="s">
        <v>1267</v>
      </c>
      <c r="Y89" t="s">
        <v>910</v>
      </c>
      <c r="Z89" t="s">
        <v>861</v>
      </c>
      <c r="AA89" t="s">
        <v>922</v>
      </c>
      <c r="AJ89" t="s">
        <v>861</v>
      </c>
      <c r="AK89" t="s">
        <v>880</v>
      </c>
      <c r="AL89" t="s">
        <v>1001</v>
      </c>
      <c r="AM89" t="s">
        <v>967</v>
      </c>
      <c r="AP89" t="s">
        <v>925</v>
      </c>
      <c r="AQ89" t="s">
        <v>965</v>
      </c>
      <c r="AS89" t="s">
        <v>965</v>
      </c>
      <c r="AT89" t="s">
        <v>965</v>
      </c>
      <c r="AU89" t="s">
        <v>886</v>
      </c>
      <c r="AW89" t="s">
        <v>969</v>
      </c>
      <c r="AX89" t="s">
        <v>1003</v>
      </c>
      <c r="AZ89" t="s">
        <v>1051</v>
      </c>
      <c r="BA89" t="s">
        <v>925</v>
      </c>
      <c r="BK89" t="s">
        <v>1134</v>
      </c>
      <c r="BL89">
        <v>600</v>
      </c>
      <c r="BM89">
        <v>63.3</v>
      </c>
      <c r="BN89">
        <v>12672.5</v>
      </c>
      <c r="BO89">
        <v>39508.6</v>
      </c>
      <c r="BP89">
        <v>39508.6</v>
      </c>
      <c r="BQ89">
        <v>42399.74</v>
      </c>
      <c r="BR89">
        <v>2891.13</v>
      </c>
      <c r="BS89" t="s">
        <v>892</v>
      </c>
      <c r="BT89">
        <v>2886</v>
      </c>
      <c r="BV89" t="s">
        <v>1472</v>
      </c>
      <c r="BW89" t="s">
        <v>1473</v>
      </c>
      <c r="BX89" t="s">
        <v>895</v>
      </c>
      <c r="BY89" t="s">
        <v>1697</v>
      </c>
      <c r="CD89" t="s">
        <v>1701</v>
      </c>
      <c r="CG89" t="s">
        <v>1702</v>
      </c>
      <c r="CH89" t="s">
        <v>994</v>
      </c>
      <c r="CI89" t="s">
        <v>1702</v>
      </c>
      <c r="CJ89" t="s">
        <v>1702</v>
      </c>
      <c r="CP89" t="s">
        <v>1275</v>
      </c>
      <c r="CT89" t="s">
        <v>901</v>
      </c>
    </row>
    <row r="90" spans="1:98" x14ac:dyDescent="0.15">
      <c r="A90" t="s">
        <v>861</v>
      </c>
      <c r="B90" t="s">
        <v>862</v>
      </c>
      <c r="C90" t="s">
        <v>739</v>
      </c>
      <c r="D90" t="s">
        <v>739</v>
      </c>
      <c r="E90" t="s">
        <v>739</v>
      </c>
      <c r="F90" t="s">
        <v>863</v>
      </c>
      <c r="G90" t="s">
        <v>864</v>
      </c>
      <c r="H90" t="s">
        <v>863</v>
      </c>
      <c r="I90" t="s">
        <v>738</v>
      </c>
      <c r="J90" t="s">
        <v>1703</v>
      </c>
      <c r="K90" t="s">
        <v>977</v>
      </c>
      <c r="L90" t="s">
        <v>868</v>
      </c>
      <c r="N90" t="s">
        <v>861</v>
      </c>
      <c r="O90">
        <v>0</v>
      </c>
      <c r="P90" t="s">
        <v>869</v>
      </c>
      <c r="Q90" t="s">
        <v>15</v>
      </c>
      <c r="R90" t="s">
        <v>870</v>
      </c>
      <c r="S90" t="s">
        <v>954</v>
      </c>
      <c r="T90" t="s">
        <v>1684</v>
      </c>
      <c r="U90" t="s">
        <v>1684</v>
      </c>
      <c r="V90" t="s">
        <v>1013</v>
      </c>
      <c r="W90" t="s">
        <v>1267</v>
      </c>
      <c r="Y90" t="s">
        <v>874</v>
      </c>
      <c r="Z90" t="s">
        <v>861</v>
      </c>
      <c r="AA90" t="s">
        <v>922</v>
      </c>
      <c r="AJ90" t="s">
        <v>861</v>
      </c>
      <c r="AK90" t="s">
        <v>880</v>
      </c>
      <c r="AL90" t="s">
        <v>1001</v>
      </c>
      <c r="AM90" t="s">
        <v>967</v>
      </c>
      <c r="AP90" t="s">
        <v>925</v>
      </c>
      <c r="AQ90" t="s">
        <v>965</v>
      </c>
      <c r="AS90" t="s">
        <v>965</v>
      </c>
      <c r="AT90" t="s">
        <v>965</v>
      </c>
      <c r="AU90" t="s">
        <v>886</v>
      </c>
      <c r="AW90" t="s">
        <v>969</v>
      </c>
      <c r="AX90" t="s">
        <v>1003</v>
      </c>
      <c r="AZ90" t="s">
        <v>1051</v>
      </c>
      <c r="BA90" t="s">
        <v>925</v>
      </c>
      <c r="BK90" t="s">
        <v>1134</v>
      </c>
      <c r="BL90">
        <v>587</v>
      </c>
      <c r="BM90">
        <v>63.64</v>
      </c>
      <c r="BN90">
        <v>13067.5</v>
      </c>
      <c r="BO90">
        <v>32883.620000000003</v>
      </c>
      <c r="BP90">
        <v>32883.620000000003</v>
      </c>
      <c r="BQ90">
        <v>35773.97</v>
      </c>
      <c r="BR90">
        <v>2890.33</v>
      </c>
      <c r="BS90" t="s">
        <v>892</v>
      </c>
      <c r="BT90">
        <v>2886</v>
      </c>
      <c r="BV90" t="s">
        <v>1472</v>
      </c>
      <c r="BW90" t="s">
        <v>1473</v>
      </c>
      <c r="BX90" t="s">
        <v>895</v>
      </c>
      <c r="BY90" t="s">
        <v>1693</v>
      </c>
      <c r="CD90" t="s">
        <v>1694</v>
      </c>
      <c r="CG90" t="s">
        <v>1704</v>
      </c>
      <c r="CH90" t="s">
        <v>994</v>
      </c>
      <c r="CI90" t="s">
        <v>1704</v>
      </c>
      <c r="CJ90" t="s">
        <v>1704</v>
      </c>
      <c r="CP90" t="s">
        <v>1275</v>
      </c>
      <c r="CT90" t="s">
        <v>901</v>
      </c>
    </row>
    <row r="91" spans="1:98" x14ac:dyDescent="0.15">
      <c r="A91" t="s">
        <v>861</v>
      </c>
      <c r="B91" t="s">
        <v>862</v>
      </c>
      <c r="C91" t="s">
        <v>194</v>
      </c>
      <c r="D91" t="s">
        <v>194</v>
      </c>
      <c r="E91" t="s">
        <v>194</v>
      </c>
      <c r="F91" t="s">
        <v>863</v>
      </c>
      <c r="G91" t="s">
        <v>1025</v>
      </c>
      <c r="H91" t="s">
        <v>865</v>
      </c>
      <c r="I91" t="s">
        <v>193</v>
      </c>
      <c r="J91" t="s">
        <v>1705</v>
      </c>
      <c r="K91" t="s">
        <v>867</v>
      </c>
      <c r="L91" t="s">
        <v>868</v>
      </c>
      <c r="N91" t="s">
        <v>861</v>
      </c>
      <c r="O91">
        <v>0</v>
      </c>
      <c r="P91" t="s">
        <v>869</v>
      </c>
      <c r="Q91" t="s">
        <v>15</v>
      </c>
      <c r="R91" t="s">
        <v>870</v>
      </c>
      <c r="S91" t="s">
        <v>954</v>
      </c>
      <c r="T91" t="s">
        <v>1535</v>
      </c>
      <c r="U91" t="s">
        <v>1535</v>
      </c>
      <c r="V91" t="s">
        <v>1706</v>
      </c>
      <c r="W91" t="s">
        <v>1337</v>
      </c>
      <c r="Y91" t="s">
        <v>874</v>
      </c>
      <c r="Z91" t="s">
        <v>861</v>
      </c>
      <c r="AA91" t="s">
        <v>875</v>
      </c>
      <c r="AF91" t="s">
        <v>1538</v>
      </c>
      <c r="AG91" t="s">
        <v>1707</v>
      </c>
      <c r="AH91" t="s">
        <v>964</v>
      </c>
      <c r="AI91" t="s">
        <v>1004</v>
      </c>
      <c r="AJ91" t="s">
        <v>861</v>
      </c>
      <c r="AK91" t="s">
        <v>880</v>
      </c>
      <c r="AL91" t="s">
        <v>1001</v>
      </c>
      <c r="AM91" t="s">
        <v>967</v>
      </c>
      <c r="AP91" t="s">
        <v>1004</v>
      </c>
      <c r="AQ91" t="s">
        <v>957</v>
      </c>
      <c r="AR91" t="s">
        <v>1708</v>
      </c>
      <c r="AS91" t="s">
        <v>957</v>
      </c>
      <c r="AT91" t="s">
        <v>957</v>
      </c>
      <c r="AU91" t="s">
        <v>886</v>
      </c>
      <c r="AW91" t="s">
        <v>1267</v>
      </c>
      <c r="AX91" t="s">
        <v>883</v>
      </c>
      <c r="AZ91" t="s">
        <v>969</v>
      </c>
      <c r="BA91" t="s">
        <v>1004</v>
      </c>
      <c r="BK91" t="s">
        <v>891</v>
      </c>
      <c r="BL91">
        <v>1549</v>
      </c>
      <c r="BM91">
        <v>66.73</v>
      </c>
      <c r="BN91">
        <v>17479.3</v>
      </c>
      <c r="BO91">
        <v>31418.22</v>
      </c>
      <c r="BP91">
        <v>31418.22</v>
      </c>
      <c r="BQ91">
        <v>31418.22</v>
      </c>
      <c r="BR91">
        <v>0</v>
      </c>
      <c r="BS91" t="s">
        <v>892</v>
      </c>
      <c r="BT91">
        <v>2639</v>
      </c>
      <c r="BV91" t="s">
        <v>1709</v>
      </c>
      <c r="BW91" t="s">
        <v>894</v>
      </c>
      <c r="BX91" t="s">
        <v>895</v>
      </c>
      <c r="BY91" t="s">
        <v>1661</v>
      </c>
      <c r="CD91" t="s">
        <v>1710</v>
      </c>
      <c r="CG91" t="s">
        <v>1705</v>
      </c>
      <c r="CH91" t="s">
        <v>898</v>
      </c>
      <c r="CI91" t="s">
        <v>1711</v>
      </c>
      <c r="CJ91" t="s">
        <v>1711</v>
      </c>
      <c r="CP91" t="s">
        <v>1706</v>
      </c>
      <c r="CT91" t="s">
        <v>901</v>
      </c>
    </row>
    <row r="92" spans="1:98" x14ac:dyDescent="0.15">
      <c r="A92" t="s">
        <v>861</v>
      </c>
      <c r="B92" t="s">
        <v>862</v>
      </c>
      <c r="C92" t="s">
        <v>431</v>
      </c>
      <c r="D92" t="s">
        <v>431</v>
      </c>
      <c r="E92" t="s">
        <v>431</v>
      </c>
      <c r="F92" t="s">
        <v>863</v>
      </c>
      <c r="G92" t="s">
        <v>864</v>
      </c>
      <c r="H92" t="s">
        <v>865</v>
      </c>
      <c r="I92" t="s">
        <v>430</v>
      </c>
      <c r="J92" t="s">
        <v>1712</v>
      </c>
      <c r="K92" t="s">
        <v>867</v>
      </c>
      <c r="L92" t="s">
        <v>868</v>
      </c>
      <c r="N92" t="s">
        <v>861</v>
      </c>
      <c r="O92">
        <v>0</v>
      </c>
      <c r="P92" t="s">
        <v>869</v>
      </c>
      <c r="Q92" t="s">
        <v>15</v>
      </c>
      <c r="R92" t="s">
        <v>870</v>
      </c>
      <c r="S92" t="s">
        <v>954</v>
      </c>
      <c r="T92" t="s">
        <v>1535</v>
      </c>
      <c r="U92" t="s">
        <v>1535</v>
      </c>
      <c r="V92" t="s">
        <v>1706</v>
      </c>
      <c r="W92" t="s">
        <v>1337</v>
      </c>
      <c r="Y92" t="s">
        <v>874</v>
      </c>
      <c r="Z92" t="s">
        <v>861</v>
      </c>
      <c r="AA92" t="s">
        <v>958</v>
      </c>
      <c r="AB92" t="s">
        <v>1713</v>
      </c>
      <c r="AF92" t="s">
        <v>1538</v>
      </c>
      <c r="AG92" t="s">
        <v>1714</v>
      </c>
      <c r="AH92" t="s">
        <v>964</v>
      </c>
      <c r="AI92" t="s">
        <v>883</v>
      </c>
      <c r="AJ92" t="s">
        <v>861</v>
      </c>
      <c r="AK92" t="s">
        <v>880</v>
      </c>
      <c r="AL92" t="s">
        <v>1001</v>
      </c>
      <c r="AM92" t="s">
        <v>967</v>
      </c>
      <c r="AP92" t="s">
        <v>883</v>
      </c>
      <c r="AQ92" t="s">
        <v>957</v>
      </c>
      <c r="AR92" t="s">
        <v>1715</v>
      </c>
      <c r="AS92" t="s">
        <v>957</v>
      </c>
      <c r="AT92" t="s">
        <v>957</v>
      </c>
      <c r="AU92" t="s">
        <v>886</v>
      </c>
      <c r="AW92" t="s">
        <v>1267</v>
      </c>
      <c r="AX92" t="s">
        <v>883</v>
      </c>
      <c r="AZ92" t="s">
        <v>969</v>
      </c>
      <c r="BA92" t="s">
        <v>1004</v>
      </c>
      <c r="BK92" t="s">
        <v>891</v>
      </c>
      <c r="BL92">
        <v>275</v>
      </c>
      <c r="BM92">
        <v>64.180000000000007</v>
      </c>
      <c r="BN92">
        <v>7050</v>
      </c>
      <c r="BO92">
        <v>18662.5</v>
      </c>
      <c r="BP92">
        <v>18662.5</v>
      </c>
      <c r="BQ92">
        <v>18662.5</v>
      </c>
      <c r="BR92">
        <v>0</v>
      </c>
      <c r="BS92" t="s">
        <v>892</v>
      </c>
      <c r="BT92">
        <v>2639</v>
      </c>
      <c r="BV92" t="s">
        <v>1709</v>
      </c>
      <c r="BW92" t="s">
        <v>894</v>
      </c>
      <c r="BX92" t="s">
        <v>895</v>
      </c>
      <c r="BY92" t="s">
        <v>1716</v>
      </c>
      <c r="CD92" t="s">
        <v>1717</v>
      </c>
      <c r="CG92" t="s">
        <v>1712</v>
      </c>
      <c r="CH92" t="s">
        <v>898</v>
      </c>
      <c r="CI92" t="s">
        <v>1718</v>
      </c>
      <c r="CJ92" t="s">
        <v>1718</v>
      </c>
      <c r="CP92" t="s">
        <v>1706</v>
      </c>
      <c r="CT92" t="s">
        <v>901</v>
      </c>
    </row>
    <row r="93" spans="1:98" x14ac:dyDescent="0.15">
      <c r="A93" t="s">
        <v>861</v>
      </c>
      <c r="B93" t="s">
        <v>862</v>
      </c>
      <c r="C93" t="s">
        <v>745</v>
      </c>
      <c r="D93" t="s">
        <v>745</v>
      </c>
      <c r="E93" t="s">
        <v>745</v>
      </c>
      <c r="F93" t="s">
        <v>863</v>
      </c>
      <c r="G93" t="s">
        <v>864</v>
      </c>
      <c r="H93" t="s">
        <v>863</v>
      </c>
      <c r="I93" t="s">
        <v>744</v>
      </c>
      <c r="J93" t="s">
        <v>1719</v>
      </c>
      <c r="K93" t="s">
        <v>867</v>
      </c>
      <c r="L93" t="s">
        <v>868</v>
      </c>
      <c r="N93" t="s">
        <v>861</v>
      </c>
      <c r="O93">
        <v>0</v>
      </c>
      <c r="P93" t="s">
        <v>869</v>
      </c>
      <c r="Q93" t="s">
        <v>15</v>
      </c>
      <c r="R93" t="s">
        <v>870</v>
      </c>
      <c r="S93" t="s">
        <v>954</v>
      </c>
      <c r="T93" t="s">
        <v>1414</v>
      </c>
      <c r="U93" t="s">
        <v>1414</v>
      </c>
      <c r="V93" t="s">
        <v>1464</v>
      </c>
      <c r="W93" t="s">
        <v>968</v>
      </c>
      <c r="Y93" t="s">
        <v>874</v>
      </c>
      <c r="Z93" t="s">
        <v>861</v>
      </c>
      <c r="AA93" t="s">
        <v>958</v>
      </c>
      <c r="AB93" t="s">
        <v>1720</v>
      </c>
      <c r="AJ93" t="s">
        <v>861</v>
      </c>
      <c r="AK93" t="s">
        <v>880</v>
      </c>
      <c r="AP93" t="s">
        <v>1003</v>
      </c>
      <c r="AZ93" t="s">
        <v>1266</v>
      </c>
      <c r="BK93" t="s">
        <v>891</v>
      </c>
      <c r="BL93">
        <v>828</v>
      </c>
      <c r="BM93">
        <v>65.55</v>
      </c>
      <c r="BN93">
        <v>8757.4</v>
      </c>
      <c r="BO93">
        <v>19996.080000000002</v>
      </c>
      <c r="BP93">
        <v>19996.080000000002</v>
      </c>
      <c r="BQ93">
        <v>19996.080000000002</v>
      </c>
      <c r="BR93">
        <v>0</v>
      </c>
      <c r="BS93" t="s">
        <v>892</v>
      </c>
      <c r="BT93">
        <v>2639</v>
      </c>
      <c r="BV93" t="s">
        <v>1721</v>
      </c>
      <c r="BW93" t="s">
        <v>1020</v>
      </c>
      <c r="BX93" t="s">
        <v>895</v>
      </c>
      <c r="BY93" t="s">
        <v>1216</v>
      </c>
      <c r="CD93" t="s">
        <v>1722</v>
      </c>
      <c r="CG93" t="s">
        <v>1719</v>
      </c>
      <c r="CH93" t="s">
        <v>898</v>
      </c>
      <c r="CI93" t="s">
        <v>1723</v>
      </c>
      <c r="CJ93" t="s">
        <v>1723</v>
      </c>
      <c r="CP93" t="s">
        <v>1371</v>
      </c>
      <c r="CT93" t="s">
        <v>901</v>
      </c>
    </row>
    <row r="94" spans="1:98" x14ac:dyDescent="0.15">
      <c r="A94" t="s">
        <v>861</v>
      </c>
      <c r="B94" t="s">
        <v>862</v>
      </c>
      <c r="C94" t="s">
        <v>411</v>
      </c>
      <c r="D94" t="s">
        <v>411</v>
      </c>
      <c r="E94" t="s">
        <v>411</v>
      </c>
      <c r="F94" t="s">
        <v>863</v>
      </c>
      <c r="G94" t="s">
        <v>1025</v>
      </c>
      <c r="H94" t="s">
        <v>1026</v>
      </c>
      <c r="I94" t="s">
        <v>410</v>
      </c>
      <c r="J94" t="s">
        <v>1724</v>
      </c>
      <c r="K94" t="s">
        <v>867</v>
      </c>
      <c r="L94" t="s">
        <v>868</v>
      </c>
      <c r="N94" t="s">
        <v>861</v>
      </c>
      <c r="O94">
        <v>0</v>
      </c>
      <c r="P94" t="s">
        <v>869</v>
      </c>
      <c r="Q94" t="s">
        <v>19</v>
      </c>
      <c r="R94" t="s">
        <v>870</v>
      </c>
      <c r="S94" t="s">
        <v>979</v>
      </c>
      <c r="T94" t="s">
        <v>1285</v>
      </c>
      <c r="U94" t="s">
        <v>1285</v>
      </c>
      <c r="V94" t="s">
        <v>998</v>
      </c>
      <c r="W94" t="s">
        <v>1286</v>
      </c>
      <c r="Y94" t="s">
        <v>874</v>
      </c>
      <c r="Z94" t="s">
        <v>861</v>
      </c>
      <c r="AA94" t="s">
        <v>958</v>
      </c>
      <c r="AB94" t="s">
        <v>1725</v>
      </c>
      <c r="AF94" t="s">
        <v>1288</v>
      </c>
      <c r="AG94" t="s">
        <v>1726</v>
      </c>
      <c r="AH94" t="s">
        <v>1247</v>
      </c>
      <c r="AI94" t="s">
        <v>1323</v>
      </c>
      <c r="AJ94" t="s">
        <v>861</v>
      </c>
      <c r="AK94" t="s">
        <v>880</v>
      </c>
      <c r="AL94" t="s">
        <v>913</v>
      </c>
      <c r="AM94" t="s">
        <v>986</v>
      </c>
      <c r="AN94" t="s">
        <v>986</v>
      </c>
      <c r="AO94" t="s">
        <v>1727</v>
      </c>
      <c r="AP94" t="s">
        <v>1323</v>
      </c>
      <c r="AQ94" t="s">
        <v>1240</v>
      </c>
      <c r="AR94" t="s">
        <v>1728</v>
      </c>
      <c r="AS94" t="s">
        <v>1240</v>
      </c>
      <c r="AT94" t="s">
        <v>1240</v>
      </c>
      <c r="AU94" t="s">
        <v>886</v>
      </c>
      <c r="AW94" t="s">
        <v>1240</v>
      </c>
      <c r="AX94" t="s">
        <v>1240</v>
      </c>
      <c r="AZ94" t="s">
        <v>1729</v>
      </c>
      <c r="BA94" t="s">
        <v>1234</v>
      </c>
      <c r="BB94" t="s">
        <v>1730</v>
      </c>
      <c r="BK94" t="s">
        <v>891</v>
      </c>
      <c r="BL94">
        <v>664</v>
      </c>
      <c r="BM94">
        <v>63.41</v>
      </c>
      <c r="BN94">
        <v>6857.2</v>
      </c>
      <c r="BO94">
        <v>10970.9</v>
      </c>
      <c r="BP94">
        <v>10970.9</v>
      </c>
      <c r="BQ94">
        <v>10970.9</v>
      </c>
      <c r="BR94">
        <v>0</v>
      </c>
      <c r="BS94" t="s">
        <v>892</v>
      </c>
      <c r="BT94">
        <v>1500</v>
      </c>
      <c r="BV94" t="s">
        <v>1295</v>
      </c>
      <c r="BW94" t="s">
        <v>1154</v>
      </c>
      <c r="BX94" t="s">
        <v>895</v>
      </c>
      <c r="BY94" t="s">
        <v>1731</v>
      </c>
      <c r="CD94" t="s">
        <v>1732</v>
      </c>
      <c r="CG94" t="s">
        <v>1724</v>
      </c>
      <c r="CH94" t="s">
        <v>898</v>
      </c>
      <c r="CI94" t="s">
        <v>1733</v>
      </c>
      <c r="CJ94" t="s">
        <v>1733</v>
      </c>
      <c r="CM94" t="s">
        <v>1044</v>
      </c>
      <c r="CN94" t="s">
        <v>1045</v>
      </c>
      <c r="CO94" t="s">
        <v>1734</v>
      </c>
      <c r="CP94" t="s">
        <v>1300</v>
      </c>
      <c r="CT94" t="s">
        <v>901</v>
      </c>
    </row>
    <row r="95" spans="1:98" x14ac:dyDescent="0.15">
      <c r="A95" t="s">
        <v>861</v>
      </c>
      <c r="B95" t="s">
        <v>862</v>
      </c>
      <c r="C95" t="s">
        <v>266</v>
      </c>
      <c r="D95" t="s">
        <v>266</v>
      </c>
      <c r="E95" t="s">
        <v>266</v>
      </c>
      <c r="F95" t="s">
        <v>863</v>
      </c>
      <c r="G95" t="s">
        <v>1025</v>
      </c>
      <c r="H95" t="s">
        <v>1026</v>
      </c>
      <c r="I95" t="s">
        <v>263</v>
      </c>
      <c r="J95" t="s">
        <v>1735</v>
      </c>
      <c r="K95" t="s">
        <v>867</v>
      </c>
      <c r="L95" t="s">
        <v>868</v>
      </c>
      <c r="N95" t="s">
        <v>1259</v>
      </c>
      <c r="O95">
        <v>0</v>
      </c>
      <c r="P95" t="s">
        <v>869</v>
      </c>
      <c r="Q95" t="s">
        <v>19</v>
      </c>
      <c r="R95" t="s">
        <v>870</v>
      </c>
      <c r="S95" t="s">
        <v>979</v>
      </c>
      <c r="T95" t="s">
        <v>1285</v>
      </c>
      <c r="U95" t="s">
        <v>1285</v>
      </c>
      <c r="V95" t="s">
        <v>998</v>
      </c>
      <c r="W95" t="s">
        <v>1286</v>
      </c>
      <c r="Y95" t="s">
        <v>874</v>
      </c>
      <c r="Z95" t="s">
        <v>861</v>
      </c>
      <c r="AA95" t="s">
        <v>958</v>
      </c>
      <c r="AB95" t="s">
        <v>1736</v>
      </c>
      <c r="AF95" t="s">
        <v>1288</v>
      </c>
      <c r="AG95" t="s">
        <v>1737</v>
      </c>
      <c r="AH95" t="s">
        <v>1247</v>
      </c>
      <c r="AI95" t="s">
        <v>1304</v>
      </c>
      <c r="AJ95" t="s">
        <v>861</v>
      </c>
      <c r="AK95" t="s">
        <v>880</v>
      </c>
      <c r="AL95" t="s">
        <v>913</v>
      </c>
      <c r="AM95" t="s">
        <v>986</v>
      </c>
      <c r="AN95" t="s">
        <v>986</v>
      </c>
      <c r="AO95" t="s">
        <v>1738</v>
      </c>
      <c r="AP95" t="s">
        <v>1304</v>
      </c>
      <c r="AQ95" t="s">
        <v>1240</v>
      </c>
      <c r="AR95" t="s">
        <v>1739</v>
      </c>
      <c r="AS95" t="s">
        <v>1240</v>
      </c>
      <c r="AT95" t="s">
        <v>1240</v>
      </c>
      <c r="AU95" t="s">
        <v>886</v>
      </c>
      <c r="AW95" t="s">
        <v>1240</v>
      </c>
      <c r="AX95" t="s">
        <v>1240</v>
      </c>
      <c r="AZ95" t="s">
        <v>1729</v>
      </c>
      <c r="BA95" t="s">
        <v>1234</v>
      </c>
      <c r="BB95" t="s">
        <v>1740</v>
      </c>
      <c r="BK95" t="s">
        <v>891</v>
      </c>
      <c r="BL95">
        <v>929</v>
      </c>
      <c r="BM95">
        <v>64.38</v>
      </c>
      <c r="BN95">
        <v>17448</v>
      </c>
      <c r="BO95">
        <v>42074.64</v>
      </c>
      <c r="BP95">
        <v>42074.64</v>
      </c>
      <c r="BQ95">
        <v>42074.64</v>
      </c>
      <c r="BR95">
        <v>0</v>
      </c>
      <c r="BS95" t="s">
        <v>892</v>
      </c>
      <c r="BT95">
        <v>1500</v>
      </c>
      <c r="BV95" t="s">
        <v>1295</v>
      </c>
      <c r="BW95" t="s">
        <v>1154</v>
      </c>
      <c r="BX95" t="s">
        <v>895</v>
      </c>
      <c r="BY95" t="s">
        <v>1741</v>
      </c>
      <c r="CD95" t="s">
        <v>1732</v>
      </c>
      <c r="CG95" t="s">
        <v>1735</v>
      </c>
      <c r="CH95" t="s">
        <v>898</v>
      </c>
      <c r="CI95" t="s">
        <v>1742</v>
      </c>
      <c r="CJ95" t="s">
        <v>1742</v>
      </c>
      <c r="CM95" t="s">
        <v>1044</v>
      </c>
      <c r="CN95" t="s">
        <v>1045</v>
      </c>
      <c r="CO95" t="s">
        <v>1743</v>
      </c>
      <c r="CP95" t="s">
        <v>1300</v>
      </c>
      <c r="CT95" t="s">
        <v>901</v>
      </c>
    </row>
    <row r="96" spans="1:98" x14ac:dyDescent="0.15">
      <c r="A96" t="s">
        <v>861</v>
      </c>
      <c r="B96" t="s">
        <v>862</v>
      </c>
      <c r="C96" t="s">
        <v>140</v>
      </c>
      <c r="D96" t="s">
        <v>140</v>
      </c>
      <c r="E96" t="s">
        <v>140</v>
      </c>
      <c r="F96" t="s">
        <v>863</v>
      </c>
      <c r="G96" t="s">
        <v>1025</v>
      </c>
      <c r="H96" t="s">
        <v>1026</v>
      </c>
      <c r="I96" t="s">
        <v>137</v>
      </c>
      <c r="J96" t="s">
        <v>1744</v>
      </c>
      <c r="K96" t="s">
        <v>867</v>
      </c>
      <c r="L96" t="s">
        <v>868</v>
      </c>
      <c r="N96" t="s">
        <v>861</v>
      </c>
      <c r="O96">
        <v>0</v>
      </c>
      <c r="P96" t="s">
        <v>869</v>
      </c>
      <c r="Q96" t="s">
        <v>15</v>
      </c>
      <c r="R96" t="s">
        <v>870</v>
      </c>
      <c r="S96" t="s">
        <v>954</v>
      </c>
      <c r="T96" t="s">
        <v>1077</v>
      </c>
      <c r="U96" t="s">
        <v>1077</v>
      </c>
      <c r="V96" t="s">
        <v>1078</v>
      </c>
      <c r="W96" t="s">
        <v>1079</v>
      </c>
      <c r="Y96" t="s">
        <v>874</v>
      </c>
      <c r="Z96" t="s">
        <v>861</v>
      </c>
      <c r="AA96" t="s">
        <v>922</v>
      </c>
      <c r="AF96" t="s">
        <v>1081</v>
      </c>
      <c r="AG96" t="s">
        <v>1745</v>
      </c>
      <c r="AH96" t="s">
        <v>964</v>
      </c>
      <c r="AI96" t="s">
        <v>1083</v>
      </c>
      <c r="AJ96" t="s">
        <v>861</v>
      </c>
      <c r="AK96" t="s">
        <v>880</v>
      </c>
      <c r="AL96" t="s">
        <v>966</v>
      </c>
      <c r="AM96" t="s">
        <v>967</v>
      </c>
      <c r="AN96" t="s">
        <v>967</v>
      </c>
      <c r="AO96" t="s">
        <v>1746</v>
      </c>
      <c r="AP96" t="s">
        <v>1083</v>
      </c>
      <c r="AQ96" t="s">
        <v>1747</v>
      </c>
      <c r="AR96" t="s">
        <v>1747</v>
      </c>
      <c r="AS96" t="s">
        <v>1747</v>
      </c>
      <c r="AT96" t="s">
        <v>1747</v>
      </c>
      <c r="AU96" t="s">
        <v>886</v>
      </c>
      <c r="AW96" t="s">
        <v>1748</v>
      </c>
      <c r="AX96" t="s">
        <v>1087</v>
      </c>
      <c r="AZ96" t="s">
        <v>1088</v>
      </c>
      <c r="BA96" t="s">
        <v>1089</v>
      </c>
      <c r="BB96" t="s">
        <v>1749</v>
      </c>
      <c r="BK96" t="s">
        <v>891</v>
      </c>
      <c r="BL96">
        <v>655</v>
      </c>
      <c r="BM96">
        <v>66.400000000000006</v>
      </c>
      <c r="BN96">
        <v>13329</v>
      </c>
      <c r="BO96">
        <v>26903.200000000001</v>
      </c>
      <c r="BP96">
        <v>26903.200000000001</v>
      </c>
      <c r="BQ96">
        <v>26903.200000000001</v>
      </c>
      <c r="BR96">
        <v>0</v>
      </c>
      <c r="BS96" t="s">
        <v>892</v>
      </c>
      <c r="BT96">
        <v>2529</v>
      </c>
      <c r="BV96" t="s">
        <v>1092</v>
      </c>
      <c r="BW96" t="s">
        <v>1093</v>
      </c>
      <c r="BX96" t="s">
        <v>895</v>
      </c>
      <c r="BY96" t="s">
        <v>1750</v>
      </c>
      <c r="CD96" t="s">
        <v>1751</v>
      </c>
      <c r="CG96" t="s">
        <v>1744</v>
      </c>
      <c r="CH96" t="s">
        <v>898</v>
      </c>
      <c r="CI96" t="s">
        <v>1752</v>
      </c>
      <c r="CJ96" t="s">
        <v>1752</v>
      </c>
      <c r="CM96" t="s">
        <v>1044</v>
      </c>
      <c r="CN96" t="s">
        <v>1045</v>
      </c>
      <c r="CO96" t="s">
        <v>1753</v>
      </c>
      <c r="CP96" t="s">
        <v>1029</v>
      </c>
      <c r="CT96" t="s">
        <v>901</v>
      </c>
    </row>
    <row r="97" spans="1:98" x14ac:dyDescent="0.15">
      <c r="A97" t="s">
        <v>861</v>
      </c>
      <c r="B97" t="s">
        <v>862</v>
      </c>
      <c r="C97" t="s">
        <v>310</v>
      </c>
      <c r="D97" t="s">
        <v>310</v>
      </c>
      <c r="E97" t="s">
        <v>310</v>
      </c>
      <c r="F97" t="s">
        <v>863</v>
      </c>
      <c r="G97" t="s">
        <v>1025</v>
      </c>
      <c r="H97" t="s">
        <v>1026</v>
      </c>
      <c r="I97" t="s">
        <v>309</v>
      </c>
      <c r="J97" t="s">
        <v>1754</v>
      </c>
      <c r="K97" t="s">
        <v>867</v>
      </c>
      <c r="L97" t="s">
        <v>868</v>
      </c>
      <c r="N97" t="s">
        <v>1259</v>
      </c>
      <c r="O97">
        <v>0</v>
      </c>
      <c r="P97" t="s">
        <v>869</v>
      </c>
      <c r="Q97" t="s">
        <v>15</v>
      </c>
      <c r="R97" t="s">
        <v>870</v>
      </c>
      <c r="S97" t="s">
        <v>954</v>
      </c>
      <c r="T97" t="s">
        <v>1077</v>
      </c>
      <c r="U97" t="s">
        <v>1077</v>
      </c>
      <c r="V97" t="s">
        <v>1078</v>
      </c>
      <c r="W97" t="s">
        <v>1079</v>
      </c>
      <c r="Y97" t="s">
        <v>874</v>
      </c>
      <c r="Z97" t="s">
        <v>861</v>
      </c>
      <c r="AA97" t="s">
        <v>958</v>
      </c>
      <c r="AB97" t="s">
        <v>1755</v>
      </c>
      <c r="AF97" t="s">
        <v>1081</v>
      </c>
      <c r="AG97" t="s">
        <v>1756</v>
      </c>
      <c r="AH97" t="s">
        <v>964</v>
      </c>
      <c r="AI97" t="s">
        <v>1083</v>
      </c>
      <c r="AJ97" t="s">
        <v>861</v>
      </c>
      <c r="AK97" t="s">
        <v>880</v>
      </c>
      <c r="AL97" t="s">
        <v>966</v>
      </c>
      <c r="AM97" t="s">
        <v>967</v>
      </c>
      <c r="AN97" t="s">
        <v>967</v>
      </c>
      <c r="AO97" t="s">
        <v>1757</v>
      </c>
      <c r="AP97" t="s">
        <v>1083</v>
      </c>
      <c r="AQ97" t="s">
        <v>1758</v>
      </c>
      <c r="AR97" t="s">
        <v>1758</v>
      </c>
      <c r="AS97" t="s">
        <v>1758</v>
      </c>
      <c r="AT97" t="s">
        <v>1758</v>
      </c>
      <c r="AU97" t="s">
        <v>886</v>
      </c>
      <c r="AW97" t="s">
        <v>1759</v>
      </c>
      <c r="AX97" t="s">
        <v>1087</v>
      </c>
      <c r="AZ97" t="s">
        <v>1088</v>
      </c>
      <c r="BA97" t="s">
        <v>1089</v>
      </c>
      <c r="BB97" t="s">
        <v>1760</v>
      </c>
      <c r="BK97" t="s">
        <v>891</v>
      </c>
      <c r="BL97">
        <v>796</v>
      </c>
      <c r="BM97">
        <v>67.06</v>
      </c>
      <c r="BN97">
        <v>10854.65</v>
      </c>
      <c r="BO97">
        <v>20052.43</v>
      </c>
      <c r="BP97">
        <v>20052.43</v>
      </c>
      <c r="BQ97">
        <v>20052.43</v>
      </c>
      <c r="BR97">
        <v>0</v>
      </c>
      <c r="BS97" t="s">
        <v>892</v>
      </c>
      <c r="BT97">
        <v>2529</v>
      </c>
      <c r="BV97" t="s">
        <v>1092</v>
      </c>
      <c r="BW97" t="s">
        <v>1093</v>
      </c>
      <c r="BX97" t="s">
        <v>895</v>
      </c>
      <c r="BY97" t="s">
        <v>1750</v>
      </c>
      <c r="CD97" t="s">
        <v>1751</v>
      </c>
      <c r="CG97" t="s">
        <v>1754</v>
      </c>
      <c r="CH97" t="s">
        <v>898</v>
      </c>
      <c r="CI97" t="s">
        <v>1761</v>
      </c>
      <c r="CJ97" t="s">
        <v>1761</v>
      </c>
      <c r="CM97" t="s">
        <v>1044</v>
      </c>
      <c r="CN97" t="s">
        <v>1045</v>
      </c>
      <c r="CO97" t="s">
        <v>1762</v>
      </c>
      <c r="CP97" t="s">
        <v>1029</v>
      </c>
      <c r="CT97" t="s">
        <v>901</v>
      </c>
    </row>
    <row r="98" spans="1:98" x14ac:dyDescent="0.15">
      <c r="A98" t="s">
        <v>861</v>
      </c>
      <c r="B98" t="s">
        <v>862</v>
      </c>
      <c r="C98" t="s">
        <v>419</v>
      </c>
      <c r="D98" t="s">
        <v>419</v>
      </c>
      <c r="E98" t="s">
        <v>419</v>
      </c>
      <c r="F98" t="s">
        <v>863</v>
      </c>
      <c r="G98" t="s">
        <v>1025</v>
      </c>
      <c r="H98" t="s">
        <v>1026</v>
      </c>
      <c r="I98" t="s">
        <v>418</v>
      </c>
      <c r="J98" t="s">
        <v>1763</v>
      </c>
      <c r="K98" t="s">
        <v>867</v>
      </c>
      <c r="L98" t="s">
        <v>868</v>
      </c>
      <c r="N98" t="s">
        <v>861</v>
      </c>
      <c r="O98">
        <v>0</v>
      </c>
      <c r="P98" t="s">
        <v>869</v>
      </c>
      <c r="Q98" t="s">
        <v>15</v>
      </c>
      <c r="R98" t="s">
        <v>870</v>
      </c>
      <c r="S98" t="s">
        <v>954</v>
      </c>
      <c r="T98" t="s">
        <v>1077</v>
      </c>
      <c r="U98" t="s">
        <v>1077</v>
      </c>
      <c r="V98" t="s">
        <v>1078</v>
      </c>
      <c r="W98" t="s">
        <v>1079</v>
      </c>
      <c r="Y98" t="s">
        <v>874</v>
      </c>
      <c r="Z98" t="s">
        <v>861</v>
      </c>
      <c r="AA98" t="s">
        <v>958</v>
      </c>
      <c r="AB98" t="s">
        <v>1099</v>
      </c>
      <c r="AF98" t="s">
        <v>1081</v>
      </c>
      <c r="AG98" t="s">
        <v>1764</v>
      </c>
      <c r="AH98" t="s">
        <v>964</v>
      </c>
      <c r="AI98" t="s">
        <v>1083</v>
      </c>
      <c r="AJ98" t="s">
        <v>861</v>
      </c>
      <c r="AK98" t="s">
        <v>880</v>
      </c>
      <c r="AL98" t="s">
        <v>966</v>
      </c>
      <c r="AM98" t="s">
        <v>967</v>
      </c>
      <c r="AN98" t="s">
        <v>967</v>
      </c>
      <c r="AO98" t="s">
        <v>1765</v>
      </c>
      <c r="AP98" t="s">
        <v>1083</v>
      </c>
      <c r="AQ98" t="s">
        <v>1766</v>
      </c>
      <c r="AR98" t="s">
        <v>1766</v>
      </c>
      <c r="AS98" t="s">
        <v>1766</v>
      </c>
      <c r="AT98" t="s">
        <v>1766</v>
      </c>
      <c r="AU98" t="s">
        <v>886</v>
      </c>
      <c r="AW98" t="s">
        <v>1767</v>
      </c>
      <c r="AX98" t="s">
        <v>1087</v>
      </c>
      <c r="AZ98" t="s">
        <v>1088</v>
      </c>
      <c r="BA98" t="s">
        <v>1089</v>
      </c>
      <c r="BB98" t="s">
        <v>1768</v>
      </c>
      <c r="BK98" t="s">
        <v>891</v>
      </c>
      <c r="BL98">
        <v>415</v>
      </c>
      <c r="BM98">
        <v>65.069999999999993</v>
      </c>
      <c r="BN98">
        <v>5451</v>
      </c>
      <c r="BO98">
        <v>13422.09</v>
      </c>
      <c r="BP98">
        <v>13422.09</v>
      </c>
      <c r="BQ98">
        <v>13422.09</v>
      </c>
      <c r="BR98">
        <v>0</v>
      </c>
      <c r="BS98" t="s">
        <v>892</v>
      </c>
      <c r="BT98">
        <v>2529</v>
      </c>
      <c r="BV98" t="s">
        <v>1092</v>
      </c>
      <c r="BW98" t="s">
        <v>1093</v>
      </c>
      <c r="BX98" t="s">
        <v>895</v>
      </c>
      <c r="BY98" t="s">
        <v>1094</v>
      </c>
      <c r="CD98" t="s">
        <v>1107</v>
      </c>
      <c r="CG98" t="s">
        <v>1763</v>
      </c>
      <c r="CH98" t="s">
        <v>898</v>
      </c>
      <c r="CI98" t="s">
        <v>1769</v>
      </c>
      <c r="CJ98" t="s">
        <v>1769</v>
      </c>
      <c r="CM98" t="s">
        <v>1044</v>
      </c>
      <c r="CN98" t="s">
        <v>1045</v>
      </c>
      <c r="CO98" t="s">
        <v>1770</v>
      </c>
      <c r="CP98" t="s">
        <v>1029</v>
      </c>
      <c r="CT98" t="s">
        <v>901</v>
      </c>
    </row>
    <row r="99" spans="1:98" x14ac:dyDescent="0.15">
      <c r="A99" t="s">
        <v>861</v>
      </c>
      <c r="B99" t="s">
        <v>862</v>
      </c>
      <c r="C99" t="s">
        <v>483</v>
      </c>
      <c r="D99" t="s">
        <v>483</v>
      </c>
      <c r="E99" t="s">
        <v>483</v>
      </c>
      <c r="F99" t="s">
        <v>863</v>
      </c>
      <c r="G99" t="s">
        <v>1025</v>
      </c>
      <c r="H99" t="s">
        <v>1026</v>
      </c>
      <c r="I99" t="s">
        <v>482</v>
      </c>
      <c r="J99" t="s">
        <v>1771</v>
      </c>
      <c r="K99" t="s">
        <v>867</v>
      </c>
      <c r="L99" t="s">
        <v>868</v>
      </c>
      <c r="N99" t="s">
        <v>861</v>
      </c>
      <c r="O99">
        <v>0</v>
      </c>
      <c r="P99" t="s">
        <v>869</v>
      </c>
      <c r="Q99" t="s">
        <v>15</v>
      </c>
      <c r="R99" t="s">
        <v>870</v>
      </c>
      <c r="S99" t="s">
        <v>954</v>
      </c>
      <c r="T99" t="s">
        <v>1077</v>
      </c>
      <c r="U99" t="s">
        <v>1077</v>
      </c>
      <c r="V99" t="s">
        <v>1078</v>
      </c>
      <c r="W99" t="s">
        <v>1079</v>
      </c>
      <c r="Y99" t="s">
        <v>874</v>
      </c>
      <c r="Z99" t="s">
        <v>861</v>
      </c>
      <c r="AA99" t="s">
        <v>958</v>
      </c>
      <c r="AB99" t="s">
        <v>1772</v>
      </c>
      <c r="AF99" t="s">
        <v>1081</v>
      </c>
      <c r="AG99" t="s">
        <v>1773</v>
      </c>
      <c r="AH99" t="s">
        <v>964</v>
      </c>
      <c r="AI99" t="s">
        <v>1083</v>
      </c>
      <c r="AJ99" t="s">
        <v>861</v>
      </c>
      <c r="AK99" t="s">
        <v>880</v>
      </c>
      <c r="AL99" t="s">
        <v>966</v>
      </c>
      <c r="AM99" t="s">
        <v>967</v>
      </c>
      <c r="AN99" t="s">
        <v>967</v>
      </c>
      <c r="AO99" t="s">
        <v>1774</v>
      </c>
      <c r="AP99" t="s">
        <v>1083</v>
      </c>
      <c r="AQ99" t="s">
        <v>1775</v>
      </c>
      <c r="AR99" t="s">
        <v>1775</v>
      </c>
      <c r="AS99" t="s">
        <v>1775</v>
      </c>
      <c r="AT99" t="s">
        <v>1775</v>
      </c>
      <c r="AU99" t="s">
        <v>886</v>
      </c>
      <c r="AW99" t="s">
        <v>1776</v>
      </c>
      <c r="AX99" t="s">
        <v>1105</v>
      </c>
      <c r="AZ99" t="s">
        <v>999</v>
      </c>
      <c r="BA99" t="s">
        <v>1087</v>
      </c>
      <c r="BB99" t="s">
        <v>1777</v>
      </c>
      <c r="BH99" t="s">
        <v>1778</v>
      </c>
      <c r="BK99" t="s">
        <v>891</v>
      </c>
      <c r="BL99">
        <v>671</v>
      </c>
      <c r="BM99">
        <v>67.42</v>
      </c>
      <c r="BN99">
        <v>13419.8</v>
      </c>
      <c r="BO99">
        <v>27369.05</v>
      </c>
      <c r="BP99">
        <v>27369.05</v>
      </c>
      <c r="BQ99">
        <v>27369.05</v>
      </c>
      <c r="BR99">
        <v>0</v>
      </c>
      <c r="BS99" t="s">
        <v>892</v>
      </c>
      <c r="BT99">
        <v>2529</v>
      </c>
      <c r="BV99" t="s">
        <v>1092</v>
      </c>
      <c r="BW99" t="s">
        <v>1093</v>
      </c>
      <c r="BX99" t="s">
        <v>895</v>
      </c>
      <c r="BY99" t="s">
        <v>1750</v>
      </c>
      <c r="CD99" t="s">
        <v>1779</v>
      </c>
      <c r="CG99" t="s">
        <v>1771</v>
      </c>
      <c r="CH99" t="s">
        <v>898</v>
      </c>
      <c r="CI99" t="s">
        <v>1780</v>
      </c>
      <c r="CJ99" t="s">
        <v>1780</v>
      </c>
      <c r="CM99" t="s">
        <v>1044</v>
      </c>
      <c r="CN99" t="s">
        <v>1045</v>
      </c>
      <c r="CO99" t="s">
        <v>1781</v>
      </c>
      <c r="CP99" t="s">
        <v>1029</v>
      </c>
      <c r="CT99" t="s">
        <v>901</v>
      </c>
    </row>
    <row r="100" spans="1:98" x14ac:dyDescent="0.15">
      <c r="A100" t="s">
        <v>861</v>
      </c>
      <c r="B100" t="s">
        <v>862</v>
      </c>
      <c r="C100" t="s">
        <v>324</v>
      </c>
      <c r="D100" t="s">
        <v>324</v>
      </c>
      <c r="E100" t="s">
        <v>324</v>
      </c>
      <c r="F100" t="s">
        <v>863</v>
      </c>
      <c r="G100" t="s">
        <v>1025</v>
      </c>
      <c r="H100" t="s">
        <v>1026</v>
      </c>
      <c r="I100" t="s">
        <v>323</v>
      </c>
      <c r="J100" t="s">
        <v>1782</v>
      </c>
      <c r="K100" t="s">
        <v>867</v>
      </c>
      <c r="L100" t="s">
        <v>868</v>
      </c>
      <c r="N100" t="s">
        <v>861</v>
      </c>
      <c r="O100">
        <v>0</v>
      </c>
      <c r="P100" t="s">
        <v>869</v>
      </c>
      <c r="Q100" t="s">
        <v>15</v>
      </c>
      <c r="R100" t="s">
        <v>870</v>
      </c>
      <c r="S100" t="s">
        <v>954</v>
      </c>
      <c r="T100" t="s">
        <v>1077</v>
      </c>
      <c r="U100" t="s">
        <v>1077</v>
      </c>
      <c r="V100" t="s">
        <v>1078</v>
      </c>
      <c r="W100" t="s">
        <v>1079</v>
      </c>
      <c r="Y100" t="s">
        <v>874</v>
      </c>
      <c r="Z100" t="s">
        <v>861</v>
      </c>
      <c r="AA100" t="s">
        <v>958</v>
      </c>
      <c r="AB100" t="s">
        <v>1772</v>
      </c>
      <c r="AF100" t="s">
        <v>1081</v>
      </c>
      <c r="AG100" t="s">
        <v>1783</v>
      </c>
      <c r="AH100" t="s">
        <v>964</v>
      </c>
      <c r="AI100" t="s">
        <v>1083</v>
      </c>
      <c r="AJ100" t="s">
        <v>861</v>
      </c>
      <c r="AK100" t="s">
        <v>880</v>
      </c>
      <c r="AL100" t="s">
        <v>966</v>
      </c>
      <c r="AM100" t="s">
        <v>967</v>
      </c>
      <c r="AN100" t="s">
        <v>967</v>
      </c>
      <c r="AO100" t="s">
        <v>1784</v>
      </c>
      <c r="AP100" t="s">
        <v>1083</v>
      </c>
      <c r="AQ100" t="s">
        <v>1785</v>
      </c>
      <c r="AR100" t="s">
        <v>1785</v>
      </c>
      <c r="AS100" t="s">
        <v>1785</v>
      </c>
      <c r="AT100" t="s">
        <v>1785</v>
      </c>
      <c r="AU100" t="s">
        <v>886</v>
      </c>
      <c r="AW100" t="s">
        <v>1786</v>
      </c>
      <c r="AX100" t="s">
        <v>1087</v>
      </c>
      <c r="AZ100" t="s">
        <v>1088</v>
      </c>
      <c r="BA100" t="s">
        <v>1089</v>
      </c>
      <c r="BB100" t="s">
        <v>1787</v>
      </c>
      <c r="BH100" t="s">
        <v>1788</v>
      </c>
      <c r="BK100" t="s">
        <v>891</v>
      </c>
      <c r="BL100">
        <v>795</v>
      </c>
      <c r="BM100">
        <v>65.89</v>
      </c>
      <c r="BN100">
        <v>12067</v>
      </c>
      <c r="BO100">
        <v>30213.1</v>
      </c>
      <c r="BP100">
        <v>30213.1</v>
      </c>
      <c r="BQ100">
        <v>30213.1</v>
      </c>
      <c r="BR100">
        <v>0</v>
      </c>
      <c r="BS100" t="s">
        <v>892</v>
      </c>
      <c r="BT100">
        <v>2529</v>
      </c>
      <c r="BV100" t="s">
        <v>1092</v>
      </c>
      <c r="BW100" t="s">
        <v>1093</v>
      </c>
      <c r="BX100" t="s">
        <v>895</v>
      </c>
      <c r="BY100" t="s">
        <v>1789</v>
      </c>
      <c r="CD100" t="s">
        <v>1779</v>
      </c>
      <c r="CG100" t="s">
        <v>1782</v>
      </c>
      <c r="CH100" t="s">
        <v>898</v>
      </c>
      <c r="CI100" t="s">
        <v>1790</v>
      </c>
      <c r="CJ100" t="s">
        <v>1790</v>
      </c>
      <c r="CM100" t="s">
        <v>1044</v>
      </c>
      <c r="CN100" t="s">
        <v>1045</v>
      </c>
      <c r="CO100" t="s">
        <v>1791</v>
      </c>
      <c r="CP100" t="s">
        <v>1029</v>
      </c>
      <c r="CT100" t="s">
        <v>901</v>
      </c>
    </row>
    <row r="101" spans="1:98" x14ac:dyDescent="0.15">
      <c r="A101" t="s">
        <v>861</v>
      </c>
      <c r="B101" t="s">
        <v>862</v>
      </c>
      <c r="C101" t="s">
        <v>286</v>
      </c>
      <c r="D101" t="s">
        <v>286</v>
      </c>
      <c r="E101" t="s">
        <v>286</v>
      </c>
      <c r="F101" t="s">
        <v>863</v>
      </c>
      <c r="G101" t="s">
        <v>1025</v>
      </c>
      <c r="H101" t="s">
        <v>1026</v>
      </c>
      <c r="I101" t="s">
        <v>285</v>
      </c>
      <c r="J101" t="s">
        <v>1792</v>
      </c>
      <c r="K101" t="s">
        <v>867</v>
      </c>
      <c r="L101" t="s">
        <v>868</v>
      </c>
      <c r="N101" t="s">
        <v>861</v>
      </c>
      <c r="O101">
        <v>0</v>
      </c>
      <c r="P101" t="s">
        <v>869</v>
      </c>
      <c r="Q101" t="s">
        <v>15</v>
      </c>
      <c r="R101" t="s">
        <v>870</v>
      </c>
      <c r="S101" t="s">
        <v>954</v>
      </c>
      <c r="T101" t="s">
        <v>1793</v>
      </c>
      <c r="U101" t="s">
        <v>1793</v>
      </c>
      <c r="V101" t="s">
        <v>1441</v>
      </c>
      <c r="W101" t="s">
        <v>1261</v>
      </c>
      <c r="Y101" t="s">
        <v>874</v>
      </c>
      <c r="Z101" t="s">
        <v>861</v>
      </c>
      <c r="AA101" t="s">
        <v>875</v>
      </c>
      <c r="AD101" t="s">
        <v>1794</v>
      </c>
      <c r="AF101" t="s">
        <v>1795</v>
      </c>
      <c r="AG101" t="s">
        <v>1796</v>
      </c>
      <c r="AH101" t="s">
        <v>964</v>
      </c>
      <c r="AI101" t="s">
        <v>1525</v>
      </c>
      <c r="AJ101" t="s">
        <v>861</v>
      </c>
      <c r="AK101" t="s">
        <v>880</v>
      </c>
      <c r="AL101" t="s">
        <v>966</v>
      </c>
      <c r="AM101" t="s">
        <v>967</v>
      </c>
      <c r="AN101" t="s">
        <v>967</v>
      </c>
      <c r="AO101" t="s">
        <v>1797</v>
      </c>
      <c r="AP101" t="s">
        <v>1525</v>
      </c>
      <c r="AQ101" t="s">
        <v>1088</v>
      </c>
      <c r="AR101" t="s">
        <v>1798</v>
      </c>
      <c r="AS101" t="s">
        <v>1088</v>
      </c>
      <c r="AT101" t="s">
        <v>1088</v>
      </c>
      <c r="AU101" t="s">
        <v>886</v>
      </c>
      <c r="AW101" t="s">
        <v>1226</v>
      </c>
      <c r="AX101" t="s">
        <v>1002</v>
      </c>
      <c r="AZ101" t="s">
        <v>1526</v>
      </c>
      <c r="BA101" t="s">
        <v>883</v>
      </c>
      <c r="BB101" t="s">
        <v>1799</v>
      </c>
      <c r="BK101" t="s">
        <v>891</v>
      </c>
      <c r="BL101">
        <v>792</v>
      </c>
      <c r="BM101">
        <v>66.150000000000006</v>
      </c>
      <c r="BN101">
        <v>8072.2</v>
      </c>
      <c r="BO101">
        <v>14917.04</v>
      </c>
      <c r="BP101">
        <v>14917.04</v>
      </c>
      <c r="BQ101">
        <v>14917.04</v>
      </c>
      <c r="BR101">
        <v>0</v>
      </c>
      <c r="BS101" t="s">
        <v>892</v>
      </c>
      <c r="BT101">
        <v>2639</v>
      </c>
      <c r="BV101" t="s">
        <v>1800</v>
      </c>
      <c r="BW101" t="s">
        <v>1154</v>
      </c>
      <c r="BX101" t="s">
        <v>895</v>
      </c>
      <c r="BY101" t="s">
        <v>1801</v>
      </c>
      <c r="CD101" t="s">
        <v>1802</v>
      </c>
      <c r="CG101" t="s">
        <v>1792</v>
      </c>
      <c r="CH101" t="s">
        <v>898</v>
      </c>
      <c r="CI101" t="s">
        <v>1803</v>
      </c>
      <c r="CJ101" t="s">
        <v>1803</v>
      </c>
      <c r="CM101" t="s">
        <v>1044</v>
      </c>
      <c r="CN101" t="s">
        <v>1045</v>
      </c>
      <c r="CO101" t="s">
        <v>1804</v>
      </c>
      <c r="CP101" t="s">
        <v>873</v>
      </c>
      <c r="CT101" t="s">
        <v>901</v>
      </c>
    </row>
    <row r="102" spans="1:98" x14ac:dyDescent="0.15">
      <c r="A102" t="s">
        <v>861</v>
      </c>
      <c r="B102" t="s">
        <v>862</v>
      </c>
      <c r="C102" t="s">
        <v>415</v>
      </c>
      <c r="D102" t="s">
        <v>415</v>
      </c>
      <c r="E102" t="s">
        <v>415</v>
      </c>
      <c r="F102" t="s">
        <v>863</v>
      </c>
      <c r="G102" t="s">
        <v>1025</v>
      </c>
      <c r="H102" t="s">
        <v>865</v>
      </c>
      <c r="I102" t="s">
        <v>414</v>
      </c>
      <c r="J102" t="s">
        <v>1805</v>
      </c>
      <c r="K102" t="s">
        <v>867</v>
      </c>
      <c r="L102" t="s">
        <v>868</v>
      </c>
      <c r="N102" t="s">
        <v>1259</v>
      </c>
      <c r="O102">
        <v>0</v>
      </c>
      <c r="P102" t="s">
        <v>869</v>
      </c>
      <c r="Q102" t="s">
        <v>15</v>
      </c>
      <c r="R102" t="s">
        <v>870</v>
      </c>
      <c r="S102" t="s">
        <v>954</v>
      </c>
      <c r="T102" t="s">
        <v>1793</v>
      </c>
      <c r="U102" t="s">
        <v>1793</v>
      </c>
      <c r="V102" t="s">
        <v>1441</v>
      </c>
      <c r="W102" t="s">
        <v>1261</v>
      </c>
      <c r="Y102" t="s">
        <v>874</v>
      </c>
      <c r="Z102" t="s">
        <v>861</v>
      </c>
      <c r="AA102" t="s">
        <v>875</v>
      </c>
      <c r="AF102" t="s">
        <v>1795</v>
      </c>
      <c r="AG102" t="s">
        <v>1806</v>
      </c>
      <c r="AH102" t="s">
        <v>964</v>
      </c>
      <c r="AI102" t="s">
        <v>1088</v>
      </c>
      <c r="AJ102" t="s">
        <v>861</v>
      </c>
      <c r="AK102" t="s">
        <v>880</v>
      </c>
      <c r="AL102" t="s">
        <v>966</v>
      </c>
      <c r="AM102" t="s">
        <v>967</v>
      </c>
      <c r="AP102" t="s">
        <v>1088</v>
      </c>
      <c r="AQ102" t="s">
        <v>1088</v>
      </c>
      <c r="AR102" t="s">
        <v>1807</v>
      </c>
      <c r="AS102" t="s">
        <v>1088</v>
      </c>
      <c r="AT102" t="s">
        <v>1088</v>
      </c>
      <c r="AU102" t="s">
        <v>886</v>
      </c>
      <c r="AW102" t="s">
        <v>1226</v>
      </c>
      <c r="AX102" t="s">
        <v>1002</v>
      </c>
      <c r="AZ102" t="s">
        <v>968</v>
      </c>
      <c r="BA102" t="s">
        <v>883</v>
      </c>
      <c r="BK102" t="s">
        <v>891</v>
      </c>
      <c r="BL102">
        <v>888</v>
      </c>
      <c r="BM102">
        <v>66.87</v>
      </c>
      <c r="BN102">
        <v>12093</v>
      </c>
      <c r="BO102">
        <v>25393.24</v>
      </c>
      <c r="BP102">
        <v>25393.24</v>
      </c>
      <c r="BQ102">
        <v>25393.24</v>
      </c>
      <c r="BR102">
        <v>0</v>
      </c>
      <c r="BS102" t="s">
        <v>892</v>
      </c>
      <c r="BT102">
        <v>2639</v>
      </c>
      <c r="BV102" t="s">
        <v>1800</v>
      </c>
      <c r="BW102" t="s">
        <v>1154</v>
      </c>
      <c r="BX102" t="s">
        <v>895</v>
      </c>
      <c r="BY102" t="s">
        <v>1808</v>
      </c>
      <c r="CD102" t="s">
        <v>1809</v>
      </c>
      <c r="CG102" t="s">
        <v>1805</v>
      </c>
      <c r="CH102" t="s">
        <v>898</v>
      </c>
      <c r="CI102" t="s">
        <v>1810</v>
      </c>
      <c r="CJ102" t="s">
        <v>1810</v>
      </c>
      <c r="CP102" t="s">
        <v>873</v>
      </c>
      <c r="CT102" t="s">
        <v>901</v>
      </c>
    </row>
    <row r="103" spans="1:98" x14ac:dyDescent="0.15">
      <c r="A103" t="s">
        <v>861</v>
      </c>
      <c r="B103" t="s">
        <v>862</v>
      </c>
      <c r="C103" t="s">
        <v>268</v>
      </c>
      <c r="D103" t="s">
        <v>268</v>
      </c>
      <c r="E103" t="s">
        <v>268</v>
      </c>
      <c r="F103" t="s">
        <v>863</v>
      </c>
      <c r="G103" t="s">
        <v>1025</v>
      </c>
      <c r="H103" t="s">
        <v>1026</v>
      </c>
      <c r="I103" t="s">
        <v>267</v>
      </c>
      <c r="J103" t="s">
        <v>1811</v>
      </c>
      <c r="K103" t="s">
        <v>867</v>
      </c>
      <c r="L103" t="s">
        <v>868</v>
      </c>
      <c r="N103" t="s">
        <v>861</v>
      </c>
      <c r="O103">
        <v>0</v>
      </c>
      <c r="P103" t="s">
        <v>869</v>
      </c>
      <c r="Q103" t="s">
        <v>15</v>
      </c>
      <c r="R103" t="s">
        <v>870</v>
      </c>
      <c r="S103" t="s">
        <v>954</v>
      </c>
      <c r="T103" t="s">
        <v>1793</v>
      </c>
      <c r="U103" t="s">
        <v>1793</v>
      </c>
      <c r="V103" t="s">
        <v>1441</v>
      </c>
      <c r="W103" t="s">
        <v>1261</v>
      </c>
      <c r="Y103" t="s">
        <v>874</v>
      </c>
      <c r="Z103" t="s">
        <v>861</v>
      </c>
      <c r="AA103" t="s">
        <v>875</v>
      </c>
      <c r="AF103" t="s">
        <v>1795</v>
      </c>
      <c r="AG103" t="s">
        <v>1812</v>
      </c>
      <c r="AH103" t="s">
        <v>964</v>
      </c>
      <c r="AI103" t="s">
        <v>1264</v>
      </c>
      <c r="AJ103" t="s">
        <v>861</v>
      </c>
      <c r="AK103" t="s">
        <v>880</v>
      </c>
      <c r="AL103" t="s">
        <v>966</v>
      </c>
      <c r="AM103" t="s">
        <v>967</v>
      </c>
      <c r="AN103" t="s">
        <v>967</v>
      </c>
      <c r="AO103" t="s">
        <v>1813</v>
      </c>
      <c r="AP103" t="s">
        <v>1264</v>
      </c>
      <c r="AQ103" t="s">
        <v>1088</v>
      </c>
      <c r="AR103" t="s">
        <v>1814</v>
      </c>
      <c r="AS103" t="s">
        <v>1088</v>
      </c>
      <c r="AT103" t="s">
        <v>1088</v>
      </c>
      <c r="AU103" t="s">
        <v>886</v>
      </c>
      <c r="AW103" t="s">
        <v>1226</v>
      </c>
      <c r="AX103" t="s">
        <v>1002</v>
      </c>
      <c r="AZ103" t="s">
        <v>1267</v>
      </c>
      <c r="BA103" t="s">
        <v>883</v>
      </c>
      <c r="BB103" t="s">
        <v>1815</v>
      </c>
      <c r="BH103" t="s">
        <v>1816</v>
      </c>
      <c r="BK103" t="s">
        <v>891</v>
      </c>
      <c r="BL103">
        <v>1216</v>
      </c>
      <c r="BM103">
        <v>64.760000000000005</v>
      </c>
      <c r="BN103">
        <v>19074.400000000001</v>
      </c>
      <c r="BO103">
        <v>14138.01</v>
      </c>
      <c r="BP103">
        <v>14138.01</v>
      </c>
      <c r="BQ103">
        <v>14138.01</v>
      </c>
      <c r="BR103">
        <v>0</v>
      </c>
      <c r="BS103" t="s">
        <v>892</v>
      </c>
      <c r="BT103">
        <v>2639</v>
      </c>
      <c r="BV103" t="s">
        <v>1800</v>
      </c>
      <c r="BW103" t="s">
        <v>1154</v>
      </c>
      <c r="BX103" t="s">
        <v>895</v>
      </c>
      <c r="BY103" t="s">
        <v>1817</v>
      </c>
      <c r="CD103" t="s">
        <v>1818</v>
      </c>
      <c r="CG103" t="s">
        <v>1811</v>
      </c>
      <c r="CH103" t="s">
        <v>898</v>
      </c>
      <c r="CI103" t="s">
        <v>1819</v>
      </c>
      <c r="CJ103" t="s">
        <v>1819</v>
      </c>
      <c r="CM103" t="s">
        <v>1044</v>
      </c>
      <c r="CN103" t="s">
        <v>1045</v>
      </c>
      <c r="CO103" t="s">
        <v>1820</v>
      </c>
      <c r="CP103" t="s">
        <v>873</v>
      </c>
      <c r="CT103" t="s">
        <v>901</v>
      </c>
    </row>
    <row r="104" spans="1:98" x14ac:dyDescent="0.15">
      <c r="A104" t="s">
        <v>861</v>
      </c>
      <c r="B104" t="s">
        <v>862</v>
      </c>
      <c r="C104" t="s">
        <v>429</v>
      </c>
      <c r="D104" t="s">
        <v>429</v>
      </c>
      <c r="E104" t="s">
        <v>429</v>
      </c>
      <c r="F104" t="s">
        <v>863</v>
      </c>
      <c r="G104" t="s">
        <v>1025</v>
      </c>
      <c r="H104" t="s">
        <v>1026</v>
      </c>
      <c r="I104" t="s">
        <v>428</v>
      </c>
      <c r="J104" t="s">
        <v>1821</v>
      </c>
      <c r="K104" t="s">
        <v>867</v>
      </c>
      <c r="L104" t="s">
        <v>868</v>
      </c>
      <c r="N104" t="s">
        <v>861</v>
      </c>
      <c r="O104">
        <v>0</v>
      </c>
      <c r="P104" t="s">
        <v>869</v>
      </c>
      <c r="Q104" t="s">
        <v>15</v>
      </c>
      <c r="R104" t="s">
        <v>870</v>
      </c>
      <c r="S104" t="s">
        <v>954</v>
      </c>
      <c r="T104" t="s">
        <v>1793</v>
      </c>
      <c r="U104" t="s">
        <v>1793</v>
      </c>
      <c r="V104" t="s">
        <v>1441</v>
      </c>
      <c r="W104" t="s">
        <v>1261</v>
      </c>
      <c r="Y104" t="s">
        <v>874</v>
      </c>
      <c r="Z104" t="s">
        <v>861</v>
      </c>
      <c r="AA104" t="s">
        <v>875</v>
      </c>
      <c r="AF104" t="s">
        <v>1795</v>
      </c>
      <c r="AG104" t="s">
        <v>1822</v>
      </c>
      <c r="AH104" t="s">
        <v>964</v>
      </c>
      <c r="AI104" t="s">
        <v>1525</v>
      </c>
      <c r="AJ104" t="s">
        <v>861</v>
      </c>
      <c r="AK104" t="s">
        <v>880</v>
      </c>
      <c r="AL104" t="s">
        <v>966</v>
      </c>
      <c r="AM104" t="s">
        <v>967</v>
      </c>
      <c r="AN104" t="s">
        <v>967</v>
      </c>
      <c r="AO104" t="s">
        <v>1823</v>
      </c>
      <c r="AP104" t="s">
        <v>1525</v>
      </c>
      <c r="AQ104" t="s">
        <v>1088</v>
      </c>
      <c r="AR104" t="s">
        <v>1824</v>
      </c>
      <c r="AS104" t="s">
        <v>1088</v>
      </c>
      <c r="AT104" t="s">
        <v>1088</v>
      </c>
      <c r="AU104" t="s">
        <v>886</v>
      </c>
      <c r="AW104" t="s">
        <v>1226</v>
      </c>
      <c r="AX104" t="s">
        <v>1002</v>
      </c>
      <c r="AZ104" t="s">
        <v>1002</v>
      </c>
      <c r="BA104" t="s">
        <v>883</v>
      </c>
      <c r="BB104" t="s">
        <v>1825</v>
      </c>
      <c r="BH104" t="s">
        <v>1826</v>
      </c>
      <c r="BK104" t="s">
        <v>891</v>
      </c>
      <c r="BL104">
        <v>1389</v>
      </c>
      <c r="BM104">
        <v>64.8</v>
      </c>
      <c r="BN104">
        <v>8947.1</v>
      </c>
      <c r="BO104">
        <v>16577.189999999999</v>
      </c>
      <c r="BP104">
        <v>16577.189999999999</v>
      </c>
      <c r="BQ104">
        <v>16577.189999999999</v>
      </c>
      <c r="BR104">
        <v>0</v>
      </c>
      <c r="BS104" t="s">
        <v>892</v>
      </c>
      <c r="BT104">
        <v>2639</v>
      </c>
      <c r="BV104" t="s">
        <v>1800</v>
      </c>
      <c r="BW104" t="s">
        <v>1154</v>
      </c>
      <c r="BX104" t="s">
        <v>895</v>
      </c>
      <c r="BY104" t="s">
        <v>1827</v>
      </c>
      <c r="CD104" t="s">
        <v>1828</v>
      </c>
      <c r="CG104" t="s">
        <v>1821</v>
      </c>
      <c r="CH104" t="s">
        <v>898</v>
      </c>
      <c r="CI104" t="s">
        <v>1829</v>
      </c>
      <c r="CJ104" t="s">
        <v>1829</v>
      </c>
      <c r="CM104" t="s">
        <v>1044</v>
      </c>
      <c r="CN104" t="s">
        <v>1045</v>
      </c>
      <c r="CO104" t="s">
        <v>1830</v>
      </c>
      <c r="CP104" t="s">
        <v>873</v>
      </c>
      <c r="CT104" t="s">
        <v>901</v>
      </c>
    </row>
    <row r="105" spans="1:98" x14ac:dyDescent="0.15">
      <c r="A105" t="s">
        <v>861</v>
      </c>
      <c r="B105" t="s">
        <v>862</v>
      </c>
      <c r="C105" t="s">
        <v>284</v>
      </c>
      <c r="D105" t="s">
        <v>284</v>
      </c>
      <c r="E105" t="s">
        <v>284</v>
      </c>
      <c r="F105" t="s">
        <v>863</v>
      </c>
      <c r="G105" t="s">
        <v>1025</v>
      </c>
      <c r="H105" t="s">
        <v>1026</v>
      </c>
      <c r="I105" t="s">
        <v>283</v>
      </c>
      <c r="J105" t="s">
        <v>1831</v>
      </c>
      <c r="K105" t="s">
        <v>867</v>
      </c>
      <c r="L105" t="s">
        <v>868</v>
      </c>
      <c r="N105" t="s">
        <v>861</v>
      </c>
      <c r="O105">
        <v>0</v>
      </c>
      <c r="P105" t="s">
        <v>869</v>
      </c>
      <c r="Q105" t="s">
        <v>15</v>
      </c>
      <c r="R105" t="s">
        <v>870</v>
      </c>
      <c r="S105" t="s">
        <v>954</v>
      </c>
      <c r="T105" t="s">
        <v>1793</v>
      </c>
      <c r="U105" t="s">
        <v>1793</v>
      </c>
      <c r="V105" t="s">
        <v>1441</v>
      </c>
      <c r="W105" t="s">
        <v>1261</v>
      </c>
      <c r="Y105" t="s">
        <v>874</v>
      </c>
      <c r="Z105" t="s">
        <v>861</v>
      </c>
      <c r="AA105" t="s">
        <v>875</v>
      </c>
      <c r="AF105" t="s">
        <v>1795</v>
      </c>
      <c r="AG105" t="s">
        <v>1832</v>
      </c>
      <c r="AH105" t="s">
        <v>964</v>
      </c>
      <c r="AI105" t="s">
        <v>1525</v>
      </c>
      <c r="AJ105" t="s">
        <v>861</v>
      </c>
      <c r="AK105" t="s">
        <v>880</v>
      </c>
      <c r="AL105" t="s">
        <v>966</v>
      </c>
      <c r="AM105" t="s">
        <v>967</v>
      </c>
      <c r="AN105" t="s">
        <v>967</v>
      </c>
      <c r="AO105" t="s">
        <v>1833</v>
      </c>
      <c r="AP105" t="s">
        <v>1525</v>
      </c>
      <c r="AQ105" t="s">
        <v>1088</v>
      </c>
      <c r="AR105" t="s">
        <v>1834</v>
      </c>
      <c r="AS105" t="s">
        <v>1088</v>
      </c>
      <c r="AT105" t="s">
        <v>1088</v>
      </c>
      <c r="AU105" t="s">
        <v>886</v>
      </c>
      <c r="AW105" t="s">
        <v>1226</v>
      </c>
      <c r="AX105" t="s">
        <v>1002</v>
      </c>
      <c r="AZ105" t="s">
        <v>1002</v>
      </c>
      <c r="BA105" t="s">
        <v>883</v>
      </c>
      <c r="BB105" t="s">
        <v>1835</v>
      </c>
      <c r="BK105" t="s">
        <v>891</v>
      </c>
      <c r="BL105">
        <v>592</v>
      </c>
      <c r="BM105">
        <v>62.36</v>
      </c>
      <c r="BN105">
        <v>7027</v>
      </c>
      <c r="BO105">
        <v>11271.57</v>
      </c>
      <c r="BP105">
        <v>11271.57</v>
      </c>
      <c r="BQ105">
        <v>11271.57</v>
      </c>
      <c r="BR105">
        <v>0</v>
      </c>
      <c r="BS105" t="s">
        <v>892</v>
      </c>
      <c r="BT105">
        <v>2639</v>
      </c>
      <c r="BV105" t="s">
        <v>1800</v>
      </c>
      <c r="BW105" t="s">
        <v>1154</v>
      </c>
      <c r="BX105" t="s">
        <v>895</v>
      </c>
      <c r="BY105" t="s">
        <v>1836</v>
      </c>
      <c r="CD105" t="s">
        <v>1837</v>
      </c>
      <c r="CG105" t="s">
        <v>1831</v>
      </c>
      <c r="CH105" t="s">
        <v>898</v>
      </c>
      <c r="CI105" t="s">
        <v>1838</v>
      </c>
      <c r="CJ105" t="s">
        <v>1838</v>
      </c>
      <c r="CM105" t="s">
        <v>1044</v>
      </c>
      <c r="CN105" t="s">
        <v>1045</v>
      </c>
      <c r="CO105" t="s">
        <v>1839</v>
      </c>
      <c r="CP105" t="s">
        <v>873</v>
      </c>
      <c r="CT105" t="s">
        <v>901</v>
      </c>
    </row>
    <row r="106" spans="1:98" x14ac:dyDescent="0.15">
      <c r="A106" t="s">
        <v>861</v>
      </c>
      <c r="B106" t="s">
        <v>862</v>
      </c>
      <c r="C106" t="s">
        <v>461</v>
      </c>
      <c r="D106" t="s">
        <v>461</v>
      </c>
      <c r="E106" t="s">
        <v>461</v>
      </c>
      <c r="F106" t="s">
        <v>863</v>
      </c>
      <c r="G106" t="s">
        <v>1025</v>
      </c>
      <c r="H106" t="s">
        <v>1026</v>
      </c>
      <c r="I106" t="s">
        <v>460</v>
      </c>
      <c r="J106" t="s">
        <v>1840</v>
      </c>
      <c r="K106" t="s">
        <v>867</v>
      </c>
      <c r="L106" t="s">
        <v>868</v>
      </c>
      <c r="N106" t="s">
        <v>861</v>
      </c>
      <c r="O106">
        <v>0</v>
      </c>
      <c r="P106" t="s">
        <v>869</v>
      </c>
      <c r="Q106" t="s">
        <v>15</v>
      </c>
      <c r="R106" t="s">
        <v>870</v>
      </c>
      <c r="S106" t="s">
        <v>954</v>
      </c>
      <c r="T106" t="s">
        <v>1793</v>
      </c>
      <c r="U106" t="s">
        <v>1793</v>
      </c>
      <c r="V106" t="s">
        <v>1441</v>
      </c>
      <c r="W106" t="s">
        <v>1261</v>
      </c>
      <c r="Y106" t="s">
        <v>874</v>
      </c>
      <c r="Z106" t="s">
        <v>861</v>
      </c>
      <c r="AA106" t="s">
        <v>875</v>
      </c>
      <c r="AF106" t="s">
        <v>1795</v>
      </c>
      <c r="AG106" t="s">
        <v>1841</v>
      </c>
      <c r="AH106" t="s">
        <v>964</v>
      </c>
      <c r="AI106" t="s">
        <v>1525</v>
      </c>
      <c r="AJ106" t="s">
        <v>861</v>
      </c>
      <c r="AK106" t="s">
        <v>880</v>
      </c>
      <c r="AL106" t="s">
        <v>966</v>
      </c>
      <c r="AM106" t="s">
        <v>967</v>
      </c>
      <c r="AN106" t="s">
        <v>967</v>
      </c>
      <c r="AO106" t="s">
        <v>1842</v>
      </c>
      <c r="AP106" t="s">
        <v>1525</v>
      </c>
      <c r="AQ106" t="s">
        <v>1088</v>
      </c>
      <c r="AR106" t="s">
        <v>1843</v>
      </c>
      <c r="AS106" t="s">
        <v>1088</v>
      </c>
      <c r="AT106" t="s">
        <v>1088</v>
      </c>
      <c r="AU106" t="s">
        <v>886</v>
      </c>
      <c r="AW106" t="s">
        <v>1226</v>
      </c>
      <c r="AX106" t="s">
        <v>1002</v>
      </c>
      <c r="AZ106" t="s">
        <v>1267</v>
      </c>
      <c r="BA106" t="s">
        <v>883</v>
      </c>
      <c r="BB106" t="s">
        <v>1844</v>
      </c>
      <c r="BH106" t="s">
        <v>1491</v>
      </c>
      <c r="BK106" t="s">
        <v>891</v>
      </c>
      <c r="BL106">
        <v>878</v>
      </c>
      <c r="BM106">
        <v>63.07</v>
      </c>
      <c r="BN106">
        <v>6823</v>
      </c>
      <c r="BO106">
        <v>12736</v>
      </c>
      <c r="BP106">
        <v>12736</v>
      </c>
      <c r="BQ106">
        <v>12736</v>
      </c>
      <c r="BR106">
        <v>0</v>
      </c>
      <c r="BS106" t="s">
        <v>892</v>
      </c>
      <c r="BT106">
        <v>2639</v>
      </c>
      <c r="BV106" t="s">
        <v>1800</v>
      </c>
      <c r="BW106" t="s">
        <v>1154</v>
      </c>
      <c r="BX106" t="s">
        <v>895</v>
      </c>
      <c r="BY106" t="s">
        <v>1827</v>
      </c>
      <c r="CD106" t="s">
        <v>1845</v>
      </c>
      <c r="CG106" t="s">
        <v>1840</v>
      </c>
      <c r="CH106" t="s">
        <v>898</v>
      </c>
      <c r="CI106" t="s">
        <v>1846</v>
      </c>
      <c r="CJ106" t="s">
        <v>1846</v>
      </c>
      <c r="CM106" t="s">
        <v>1044</v>
      </c>
      <c r="CN106" t="s">
        <v>1045</v>
      </c>
      <c r="CO106" t="s">
        <v>1847</v>
      </c>
      <c r="CP106" t="s">
        <v>873</v>
      </c>
      <c r="CT106" t="s">
        <v>901</v>
      </c>
    </row>
    <row r="107" spans="1:98" x14ac:dyDescent="0.15">
      <c r="A107" t="s">
        <v>861</v>
      </c>
      <c r="B107" t="s">
        <v>862</v>
      </c>
      <c r="C107" t="s">
        <v>346</v>
      </c>
      <c r="D107" t="s">
        <v>346</v>
      </c>
      <c r="E107" t="s">
        <v>346</v>
      </c>
      <c r="F107" t="s">
        <v>863</v>
      </c>
      <c r="G107" t="s">
        <v>1025</v>
      </c>
      <c r="H107" t="s">
        <v>1026</v>
      </c>
      <c r="I107" t="s">
        <v>345</v>
      </c>
      <c r="J107" t="s">
        <v>1848</v>
      </c>
      <c r="K107" t="s">
        <v>867</v>
      </c>
      <c r="L107" t="s">
        <v>868</v>
      </c>
      <c r="N107" t="s">
        <v>861</v>
      </c>
      <c r="O107">
        <v>0</v>
      </c>
      <c r="P107" t="s">
        <v>869</v>
      </c>
      <c r="Q107" t="s">
        <v>19</v>
      </c>
      <c r="R107" t="s">
        <v>870</v>
      </c>
      <c r="S107" t="s">
        <v>979</v>
      </c>
      <c r="T107" t="s">
        <v>1285</v>
      </c>
      <c r="U107" t="s">
        <v>1285</v>
      </c>
      <c r="V107" t="s">
        <v>998</v>
      </c>
      <c r="W107" t="s">
        <v>1286</v>
      </c>
      <c r="Y107" t="s">
        <v>874</v>
      </c>
      <c r="Z107" t="s">
        <v>861</v>
      </c>
      <c r="AA107" t="s">
        <v>958</v>
      </c>
      <c r="AB107" t="s">
        <v>1849</v>
      </c>
      <c r="AF107" t="s">
        <v>1288</v>
      </c>
      <c r="AG107" t="s">
        <v>1850</v>
      </c>
      <c r="AH107" t="s">
        <v>1247</v>
      </c>
      <c r="AI107" t="s">
        <v>1125</v>
      </c>
      <c r="AJ107" t="s">
        <v>861</v>
      </c>
      <c r="AK107" t="s">
        <v>880</v>
      </c>
      <c r="AL107" t="s">
        <v>913</v>
      </c>
      <c r="AM107" t="s">
        <v>986</v>
      </c>
      <c r="AN107" t="s">
        <v>986</v>
      </c>
      <c r="AO107" t="s">
        <v>1851</v>
      </c>
      <c r="AP107" t="s">
        <v>1125</v>
      </c>
      <c r="AQ107" t="s">
        <v>1240</v>
      </c>
      <c r="AR107" t="s">
        <v>1852</v>
      </c>
      <c r="AS107" t="s">
        <v>1240</v>
      </c>
      <c r="AT107" t="s">
        <v>1240</v>
      </c>
      <c r="AU107" t="s">
        <v>886</v>
      </c>
      <c r="AW107" t="s">
        <v>1240</v>
      </c>
      <c r="AX107" t="s">
        <v>1240</v>
      </c>
      <c r="AZ107" t="s">
        <v>1729</v>
      </c>
      <c r="BA107" t="s">
        <v>1234</v>
      </c>
      <c r="BB107" t="s">
        <v>1853</v>
      </c>
      <c r="BK107" t="s">
        <v>891</v>
      </c>
      <c r="BL107">
        <v>852</v>
      </c>
      <c r="BM107">
        <v>64.45</v>
      </c>
      <c r="BN107">
        <v>6709.4</v>
      </c>
      <c r="BO107">
        <v>12824.18</v>
      </c>
      <c r="BP107">
        <v>12824.18</v>
      </c>
      <c r="BQ107">
        <v>12824.18</v>
      </c>
      <c r="BR107">
        <v>0</v>
      </c>
      <c r="BS107" t="s">
        <v>892</v>
      </c>
      <c r="BT107">
        <v>1500</v>
      </c>
      <c r="BV107" t="s">
        <v>1295</v>
      </c>
      <c r="BW107" t="s">
        <v>1154</v>
      </c>
      <c r="BX107" t="s">
        <v>895</v>
      </c>
      <c r="BY107" t="s">
        <v>1741</v>
      </c>
      <c r="CD107" t="s">
        <v>1854</v>
      </c>
      <c r="CG107" t="s">
        <v>1848</v>
      </c>
      <c r="CH107" t="s">
        <v>898</v>
      </c>
      <c r="CI107" t="s">
        <v>1855</v>
      </c>
      <c r="CJ107" t="s">
        <v>1855</v>
      </c>
      <c r="CM107" t="s">
        <v>1044</v>
      </c>
      <c r="CN107" t="s">
        <v>1045</v>
      </c>
      <c r="CO107" t="s">
        <v>1856</v>
      </c>
      <c r="CP107" t="s">
        <v>1300</v>
      </c>
      <c r="CT107" t="s">
        <v>901</v>
      </c>
    </row>
    <row r="108" spans="1:98" x14ac:dyDescent="0.15">
      <c r="A108" t="s">
        <v>861</v>
      </c>
      <c r="B108" t="s">
        <v>862</v>
      </c>
      <c r="C108" t="s">
        <v>479</v>
      </c>
      <c r="D108" t="s">
        <v>479</v>
      </c>
      <c r="E108" t="s">
        <v>479</v>
      </c>
      <c r="F108" t="s">
        <v>863</v>
      </c>
      <c r="G108" t="s">
        <v>1025</v>
      </c>
      <c r="H108" t="s">
        <v>1026</v>
      </c>
      <c r="I108" t="s">
        <v>478</v>
      </c>
      <c r="J108" t="s">
        <v>1857</v>
      </c>
      <c r="K108" t="s">
        <v>977</v>
      </c>
      <c r="L108" t="s">
        <v>868</v>
      </c>
      <c r="N108" t="s">
        <v>1259</v>
      </c>
      <c r="O108">
        <v>0</v>
      </c>
      <c r="P108" t="s">
        <v>1142</v>
      </c>
      <c r="Q108" t="s">
        <v>36</v>
      </c>
      <c r="R108" t="s">
        <v>919</v>
      </c>
      <c r="S108" t="s">
        <v>979</v>
      </c>
      <c r="T108" t="s">
        <v>1124</v>
      </c>
      <c r="U108" t="s">
        <v>1124</v>
      </c>
      <c r="V108" t="s">
        <v>1272</v>
      </c>
      <c r="W108" t="s">
        <v>1125</v>
      </c>
      <c r="Y108" t="s">
        <v>910</v>
      </c>
      <c r="Z108" t="s">
        <v>861</v>
      </c>
      <c r="AA108" t="s">
        <v>958</v>
      </c>
      <c r="AB108" t="s">
        <v>1858</v>
      </c>
      <c r="AD108" t="s">
        <v>923</v>
      </c>
      <c r="AE108" t="s">
        <v>1859</v>
      </c>
      <c r="AF108" t="s">
        <v>1127</v>
      </c>
      <c r="AG108" t="s">
        <v>1128</v>
      </c>
      <c r="AH108" t="s">
        <v>1129</v>
      </c>
      <c r="AI108" t="s">
        <v>1083</v>
      </c>
      <c r="AJ108" t="s">
        <v>861</v>
      </c>
      <c r="AK108" t="s">
        <v>880</v>
      </c>
      <c r="AL108" t="s">
        <v>1860</v>
      </c>
      <c r="AM108" t="s">
        <v>986</v>
      </c>
      <c r="AN108" t="s">
        <v>986</v>
      </c>
      <c r="AO108" t="s">
        <v>1861</v>
      </c>
      <c r="AP108" t="s">
        <v>1083</v>
      </c>
      <c r="AQ108" t="s">
        <v>1131</v>
      </c>
      <c r="AR108" t="s">
        <v>1132</v>
      </c>
      <c r="AS108" t="s">
        <v>1131</v>
      </c>
      <c r="AT108" t="s">
        <v>1131</v>
      </c>
      <c r="AU108" t="s">
        <v>886</v>
      </c>
      <c r="AW108" t="s">
        <v>1131</v>
      </c>
      <c r="AX108" t="s">
        <v>1131</v>
      </c>
      <c r="AZ108" t="s">
        <v>969</v>
      </c>
      <c r="BA108" t="s">
        <v>1133</v>
      </c>
      <c r="BB108" t="s">
        <v>1038</v>
      </c>
      <c r="BK108" t="s">
        <v>891</v>
      </c>
      <c r="BL108">
        <v>766</v>
      </c>
      <c r="BM108">
        <v>64.12</v>
      </c>
      <c r="BN108">
        <v>9719.7000000000007</v>
      </c>
      <c r="BO108">
        <v>24858.34</v>
      </c>
      <c r="BP108">
        <v>24858.34</v>
      </c>
      <c r="BQ108">
        <v>24858.34</v>
      </c>
      <c r="BR108">
        <v>0</v>
      </c>
      <c r="BS108" t="s">
        <v>892</v>
      </c>
      <c r="BT108">
        <v>1764</v>
      </c>
      <c r="BV108" t="s">
        <v>1862</v>
      </c>
      <c r="BW108" t="s">
        <v>1863</v>
      </c>
      <c r="BX108" t="s">
        <v>895</v>
      </c>
      <c r="BY108" t="s">
        <v>1864</v>
      </c>
      <c r="CD108" t="s">
        <v>1865</v>
      </c>
      <c r="CG108" t="s">
        <v>1866</v>
      </c>
      <c r="CH108" t="s">
        <v>994</v>
      </c>
      <c r="CI108" t="s">
        <v>1866</v>
      </c>
      <c r="CJ108" t="s">
        <v>1866</v>
      </c>
      <c r="CM108" t="s">
        <v>1044</v>
      </c>
      <c r="CN108" t="s">
        <v>1045</v>
      </c>
      <c r="CO108" t="s">
        <v>1867</v>
      </c>
      <c r="CP108" t="s">
        <v>1272</v>
      </c>
      <c r="CT108" t="s">
        <v>901</v>
      </c>
    </row>
    <row r="109" spans="1:98" x14ac:dyDescent="0.15">
      <c r="A109" t="s">
        <v>861</v>
      </c>
      <c r="B109" t="s">
        <v>862</v>
      </c>
      <c r="C109" t="s">
        <v>435</v>
      </c>
      <c r="D109" t="s">
        <v>435</v>
      </c>
      <c r="E109" t="s">
        <v>435</v>
      </c>
      <c r="F109" t="s">
        <v>863</v>
      </c>
      <c r="G109" t="s">
        <v>1025</v>
      </c>
      <c r="H109" t="s">
        <v>1026</v>
      </c>
      <c r="I109" t="s">
        <v>434</v>
      </c>
      <c r="J109" t="s">
        <v>1868</v>
      </c>
      <c r="K109" t="s">
        <v>867</v>
      </c>
      <c r="L109" t="s">
        <v>868</v>
      </c>
      <c r="N109" t="s">
        <v>861</v>
      </c>
      <c r="O109">
        <v>0</v>
      </c>
      <c r="P109" t="s">
        <v>869</v>
      </c>
      <c r="Q109" t="s">
        <v>19</v>
      </c>
      <c r="R109" t="s">
        <v>870</v>
      </c>
      <c r="S109" t="s">
        <v>979</v>
      </c>
      <c r="T109" t="s">
        <v>1869</v>
      </c>
      <c r="U109" t="s">
        <v>1869</v>
      </c>
      <c r="V109" t="s">
        <v>1013</v>
      </c>
      <c r="W109" t="s">
        <v>1243</v>
      </c>
      <c r="Y109" t="s">
        <v>874</v>
      </c>
      <c r="Z109" t="s">
        <v>861</v>
      </c>
      <c r="AA109" t="s">
        <v>958</v>
      </c>
      <c r="AB109" t="s">
        <v>1870</v>
      </c>
      <c r="AF109" t="s">
        <v>1871</v>
      </c>
      <c r="AG109" t="s">
        <v>1872</v>
      </c>
      <c r="AH109" t="s">
        <v>1247</v>
      </c>
      <c r="AI109" t="s">
        <v>1248</v>
      </c>
      <c r="AJ109" t="s">
        <v>861</v>
      </c>
      <c r="AK109" t="s">
        <v>880</v>
      </c>
      <c r="AL109" t="s">
        <v>913</v>
      </c>
      <c r="AM109" t="s">
        <v>986</v>
      </c>
      <c r="AN109" t="s">
        <v>986</v>
      </c>
      <c r="AO109" t="s">
        <v>1873</v>
      </c>
      <c r="AP109" t="s">
        <v>1248</v>
      </c>
      <c r="AQ109" t="s">
        <v>1250</v>
      </c>
      <c r="AR109" t="s">
        <v>1874</v>
      </c>
      <c r="AS109" t="s">
        <v>1250</v>
      </c>
      <c r="AT109" t="s">
        <v>1250</v>
      </c>
      <c r="AU109" t="s">
        <v>886</v>
      </c>
      <c r="AW109" t="s">
        <v>1250</v>
      </c>
      <c r="AX109" t="s">
        <v>1250</v>
      </c>
      <c r="AZ109" t="s">
        <v>1252</v>
      </c>
      <c r="BA109" t="s">
        <v>1128</v>
      </c>
      <c r="BB109" t="s">
        <v>1875</v>
      </c>
      <c r="BK109" t="s">
        <v>891</v>
      </c>
      <c r="BL109">
        <v>578</v>
      </c>
      <c r="BM109">
        <v>64.37</v>
      </c>
      <c r="BN109">
        <v>19135</v>
      </c>
      <c r="BO109">
        <v>31271.439999999999</v>
      </c>
      <c r="BP109">
        <v>31271.439999999999</v>
      </c>
      <c r="BQ109">
        <v>31271.439999999999</v>
      </c>
      <c r="BR109">
        <v>0</v>
      </c>
      <c r="BS109" t="s">
        <v>892</v>
      </c>
      <c r="BT109">
        <v>1500</v>
      </c>
      <c r="BV109" t="s">
        <v>1876</v>
      </c>
      <c r="BW109" t="s">
        <v>1877</v>
      </c>
      <c r="BX109" t="s">
        <v>895</v>
      </c>
      <c r="BY109" t="s">
        <v>1878</v>
      </c>
      <c r="CD109" t="s">
        <v>1879</v>
      </c>
      <c r="CG109" t="s">
        <v>1868</v>
      </c>
      <c r="CH109" t="s">
        <v>898</v>
      </c>
      <c r="CI109" t="s">
        <v>1880</v>
      </c>
      <c r="CJ109" t="s">
        <v>1880</v>
      </c>
      <c r="CM109" t="s">
        <v>1044</v>
      </c>
      <c r="CN109" t="s">
        <v>1045</v>
      </c>
      <c r="CO109" t="s">
        <v>1881</v>
      </c>
      <c r="CP109" t="s">
        <v>1275</v>
      </c>
      <c r="CT109" t="s">
        <v>901</v>
      </c>
    </row>
    <row r="110" spans="1:98" x14ac:dyDescent="0.15">
      <c r="A110" t="s">
        <v>861</v>
      </c>
      <c r="B110" t="s">
        <v>862</v>
      </c>
      <c r="C110" t="s">
        <v>276</v>
      </c>
      <c r="D110" t="s">
        <v>276</v>
      </c>
      <c r="E110" t="s">
        <v>276</v>
      </c>
      <c r="F110" t="s">
        <v>863</v>
      </c>
      <c r="G110" t="s">
        <v>1025</v>
      </c>
      <c r="H110" t="s">
        <v>1026</v>
      </c>
      <c r="I110" t="s">
        <v>275</v>
      </c>
      <c r="J110" t="s">
        <v>1882</v>
      </c>
      <c r="K110" t="s">
        <v>867</v>
      </c>
      <c r="L110" t="s">
        <v>868</v>
      </c>
      <c r="N110" t="s">
        <v>861</v>
      </c>
      <c r="O110">
        <v>0</v>
      </c>
      <c r="P110" t="s">
        <v>869</v>
      </c>
      <c r="Q110" t="s">
        <v>19</v>
      </c>
      <c r="R110" t="s">
        <v>870</v>
      </c>
      <c r="S110" t="s">
        <v>979</v>
      </c>
      <c r="T110" t="s">
        <v>1883</v>
      </c>
      <c r="U110" t="s">
        <v>1883</v>
      </c>
      <c r="V110" t="s">
        <v>1013</v>
      </c>
      <c r="W110" t="s">
        <v>1243</v>
      </c>
      <c r="Y110" t="s">
        <v>874</v>
      </c>
      <c r="Z110" t="s">
        <v>861</v>
      </c>
      <c r="AA110" t="s">
        <v>958</v>
      </c>
      <c r="AB110" t="s">
        <v>1884</v>
      </c>
      <c r="AF110" t="s">
        <v>1871</v>
      </c>
      <c r="AG110" t="s">
        <v>1885</v>
      </c>
      <c r="AH110" t="s">
        <v>1247</v>
      </c>
      <c r="AI110" t="s">
        <v>1261</v>
      </c>
      <c r="AJ110" t="s">
        <v>861</v>
      </c>
      <c r="AK110" t="s">
        <v>880</v>
      </c>
      <c r="AL110" t="s">
        <v>913</v>
      </c>
      <c r="AM110" t="s">
        <v>986</v>
      </c>
      <c r="AN110" t="s">
        <v>986</v>
      </c>
      <c r="AO110" t="s">
        <v>1886</v>
      </c>
      <c r="AP110" t="s">
        <v>1261</v>
      </c>
      <c r="AQ110" t="s">
        <v>1131</v>
      </c>
      <c r="AR110" t="s">
        <v>1887</v>
      </c>
      <c r="AS110" t="s">
        <v>1131</v>
      </c>
      <c r="AT110" t="s">
        <v>1131</v>
      </c>
      <c r="AU110" t="s">
        <v>886</v>
      </c>
      <c r="AW110" t="s">
        <v>1131</v>
      </c>
      <c r="AX110" t="s">
        <v>1131</v>
      </c>
      <c r="AZ110" t="s">
        <v>999</v>
      </c>
      <c r="BA110" t="s">
        <v>1133</v>
      </c>
      <c r="BB110" t="s">
        <v>1888</v>
      </c>
      <c r="BK110" t="s">
        <v>891</v>
      </c>
      <c r="BL110">
        <v>540</v>
      </c>
      <c r="BM110">
        <v>66.069999999999993</v>
      </c>
      <c r="BN110">
        <v>16280.5</v>
      </c>
      <c r="BO110">
        <v>30448.47</v>
      </c>
      <c r="BP110">
        <v>30448.47</v>
      </c>
      <c r="BQ110">
        <v>30448.47</v>
      </c>
      <c r="BR110">
        <v>0</v>
      </c>
      <c r="BS110" t="s">
        <v>892</v>
      </c>
      <c r="BT110">
        <v>1639</v>
      </c>
      <c r="BV110" t="s">
        <v>1876</v>
      </c>
      <c r="BW110" t="s">
        <v>1877</v>
      </c>
      <c r="BX110" t="s">
        <v>895</v>
      </c>
      <c r="BY110" t="s">
        <v>1878</v>
      </c>
      <c r="CD110" t="s">
        <v>1889</v>
      </c>
      <c r="CG110" t="s">
        <v>1882</v>
      </c>
      <c r="CH110" t="s">
        <v>898</v>
      </c>
      <c r="CI110" t="s">
        <v>1890</v>
      </c>
      <c r="CJ110" t="s">
        <v>1890</v>
      </c>
      <c r="CM110" t="s">
        <v>1044</v>
      </c>
      <c r="CN110" t="s">
        <v>1045</v>
      </c>
      <c r="CO110" t="s">
        <v>1891</v>
      </c>
      <c r="CP110" t="s">
        <v>1024</v>
      </c>
      <c r="CT110" t="s">
        <v>901</v>
      </c>
    </row>
    <row r="111" spans="1:98" x14ac:dyDescent="0.15">
      <c r="A111" t="s">
        <v>861</v>
      </c>
      <c r="B111" t="s">
        <v>862</v>
      </c>
      <c r="C111" t="s">
        <v>184</v>
      </c>
      <c r="D111" t="s">
        <v>184</v>
      </c>
      <c r="E111" t="s">
        <v>184</v>
      </c>
      <c r="F111" t="s">
        <v>863</v>
      </c>
      <c r="G111" t="s">
        <v>1025</v>
      </c>
      <c r="H111" t="s">
        <v>1026</v>
      </c>
      <c r="I111" t="s">
        <v>183</v>
      </c>
      <c r="J111" t="s">
        <v>1892</v>
      </c>
      <c r="K111" t="s">
        <v>867</v>
      </c>
      <c r="L111" t="s">
        <v>868</v>
      </c>
      <c r="N111" t="s">
        <v>861</v>
      </c>
      <c r="O111">
        <v>0</v>
      </c>
      <c r="P111" t="s">
        <v>869</v>
      </c>
      <c r="Q111" t="s">
        <v>19</v>
      </c>
      <c r="R111" t="s">
        <v>870</v>
      </c>
      <c r="S111" t="s">
        <v>979</v>
      </c>
      <c r="T111" t="s">
        <v>1883</v>
      </c>
      <c r="U111" t="s">
        <v>1883</v>
      </c>
      <c r="V111" t="s">
        <v>1013</v>
      </c>
      <c r="W111" t="s">
        <v>1243</v>
      </c>
      <c r="Y111" t="s">
        <v>910</v>
      </c>
      <c r="Z111" t="s">
        <v>861</v>
      </c>
      <c r="AA111" t="s">
        <v>958</v>
      </c>
      <c r="AB111" t="s">
        <v>1893</v>
      </c>
      <c r="AF111" t="s">
        <v>1871</v>
      </c>
      <c r="AG111" t="s">
        <v>1894</v>
      </c>
      <c r="AH111" t="s">
        <v>1247</v>
      </c>
      <c r="AI111" t="s">
        <v>1895</v>
      </c>
      <c r="AJ111" t="s">
        <v>861</v>
      </c>
      <c r="AK111" t="s">
        <v>880</v>
      </c>
      <c r="AL111" t="s">
        <v>913</v>
      </c>
      <c r="AM111" t="s">
        <v>986</v>
      </c>
      <c r="AN111" t="s">
        <v>986</v>
      </c>
      <c r="AO111" t="s">
        <v>1896</v>
      </c>
      <c r="AP111" t="s">
        <v>1261</v>
      </c>
      <c r="AQ111" t="s">
        <v>1131</v>
      </c>
      <c r="AR111" t="s">
        <v>1897</v>
      </c>
      <c r="AS111" t="s">
        <v>1131</v>
      </c>
      <c r="AT111" t="s">
        <v>1133</v>
      </c>
      <c r="AU111" t="s">
        <v>886</v>
      </c>
      <c r="AW111" t="s">
        <v>1133</v>
      </c>
      <c r="AX111" t="s">
        <v>1133</v>
      </c>
      <c r="AZ111" t="s">
        <v>999</v>
      </c>
      <c r="BA111" t="s">
        <v>1132</v>
      </c>
      <c r="BB111" t="s">
        <v>1898</v>
      </c>
      <c r="BK111" t="s">
        <v>891</v>
      </c>
      <c r="BL111">
        <v>453</v>
      </c>
      <c r="BM111">
        <v>66.55</v>
      </c>
      <c r="BN111">
        <v>11539.3</v>
      </c>
      <c r="BO111">
        <v>25805.48</v>
      </c>
      <c r="BP111">
        <v>25805.48</v>
      </c>
      <c r="BQ111">
        <v>25805.48</v>
      </c>
      <c r="BR111">
        <v>0</v>
      </c>
      <c r="BS111" t="s">
        <v>892</v>
      </c>
      <c r="BT111">
        <v>1639</v>
      </c>
      <c r="BV111" t="s">
        <v>1876</v>
      </c>
      <c r="BW111" t="s">
        <v>1877</v>
      </c>
      <c r="BX111" t="s">
        <v>895</v>
      </c>
      <c r="BY111" t="s">
        <v>1899</v>
      </c>
      <c r="CD111" t="s">
        <v>1900</v>
      </c>
      <c r="CG111" t="s">
        <v>1892</v>
      </c>
      <c r="CH111" t="s">
        <v>898</v>
      </c>
      <c r="CI111" t="s">
        <v>1901</v>
      </c>
      <c r="CJ111" t="s">
        <v>1901</v>
      </c>
      <c r="CM111" t="s">
        <v>1044</v>
      </c>
      <c r="CN111" t="s">
        <v>1045</v>
      </c>
      <c r="CO111" t="s">
        <v>1902</v>
      </c>
      <c r="CP111" t="s">
        <v>1024</v>
      </c>
      <c r="CT111" t="s">
        <v>901</v>
      </c>
    </row>
    <row r="112" spans="1:98" x14ac:dyDescent="0.15">
      <c r="A112" t="s">
        <v>861</v>
      </c>
      <c r="B112" t="s">
        <v>862</v>
      </c>
      <c r="C112" t="s">
        <v>395</v>
      </c>
      <c r="D112" t="s">
        <v>395</v>
      </c>
      <c r="E112" t="s">
        <v>395</v>
      </c>
      <c r="F112" t="s">
        <v>863</v>
      </c>
      <c r="G112" t="s">
        <v>1025</v>
      </c>
      <c r="H112" t="s">
        <v>1026</v>
      </c>
      <c r="I112" t="s">
        <v>394</v>
      </c>
      <c r="J112" t="s">
        <v>1903</v>
      </c>
      <c r="K112" t="s">
        <v>867</v>
      </c>
      <c r="L112" t="s">
        <v>868</v>
      </c>
      <c r="N112" t="s">
        <v>861</v>
      </c>
      <c r="O112">
        <v>0</v>
      </c>
      <c r="P112" t="s">
        <v>869</v>
      </c>
      <c r="Q112" t="s">
        <v>19</v>
      </c>
      <c r="R112" t="s">
        <v>870</v>
      </c>
      <c r="S112" t="s">
        <v>979</v>
      </c>
      <c r="T112" t="s">
        <v>1883</v>
      </c>
      <c r="U112" t="s">
        <v>1883</v>
      </c>
      <c r="V112" t="s">
        <v>1013</v>
      </c>
      <c r="W112" t="s">
        <v>1243</v>
      </c>
      <c r="Y112" t="s">
        <v>874</v>
      </c>
      <c r="Z112" t="s">
        <v>861</v>
      </c>
      <c r="AA112" t="s">
        <v>958</v>
      </c>
      <c r="AB112" t="s">
        <v>1904</v>
      </c>
      <c r="AF112" t="s">
        <v>1871</v>
      </c>
      <c r="AG112" t="s">
        <v>1905</v>
      </c>
      <c r="AH112" t="s">
        <v>1247</v>
      </c>
      <c r="AI112" t="s">
        <v>1261</v>
      </c>
      <c r="AJ112" t="s">
        <v>861</v>
      </c>
      <c r="AK112" t="s">
        <v>880</v>
      </c>
      <c r="AL112" t="s">
        <v>913</v>
      </c>
      <c r="AM112" t="s">
        <v>986</v>
      </c>
      <c r="AN112" t="s">
        <v>986</v>
      </c>
      <c r="AO112" t="s">
        <v>1906</v>
      </c>
      <c r="AP112" t="s">
        <v>1261</v>
      </c>
      <c r="AQ112" t="s">
        <v>1131</v>
      </c>
      <c r="AR112" t="s">
        <v>1907</v>
      </c>
      <c r="AS112" t="s">
        <v>1131</v>
      </c>
      <c r="AT112" t="s">
        <v>1133</v>
      </c>
      <c r="AU112" t="s">
        <v>886</v>
      </c>
      <c r="AW112" t="s">
        <v>1133</v>
      </c>
      <c r="AX112" t="s">
        <v>1133</v>
      </c>
      <c r="AZ112" t="s">
        <v>1226</v>
      </c>
      <c r="BA112" t="s">
        <v>1132</v>
      </c>
      <c r="BB112" t="s">
        <v>1908</v>
      </c>
      <c r="BK112" t="s">
        <v>891</v>
      </c>
      <c r="BL112">
        <v>557</v>
      </c>
      <c r="BM112">
        <v>63.55</v>
      </c>
      <c r="BN112">
        <v>10080.299999999999</v>
      </c>
      <c r="BO112">
        <v>31342.29</v>
      </c>
      <c r="BP112">
        <v>31342.29</v>
      </c>
      <c r="BQ112">
        <v>31342.29</v>
      </c>
      <c r="BR112">
        <v>0</v>
      </c>
      <c r="BS112" t="s">
        <v>892</v>
      </c>
      <c r="BT112">
        <v>1639</v>
      </c>
      <c r="BV112" t="s">
        <v>1876</v>
      </c>
      <c r="BW112" t="s">
        <v>1877</v>
      </c>
      <c r="BX112" t="s">
        <v>895</v>
      </c>
      <c r="BY112" t="s">
        <v>1909</v>
      </c>
      <c r="CD112" t="s">
        <v>1910</v>
      </c>
      <c r="CG112" t="s">
        <v>1903</v>
      </c>
      <c r="CH112" t="s">
        <v>898</v>
      </c>
      <c r="CI112" t="s">
        <v>1911</v>
      </c>
      <c r="CJ112" t="s">
        <v>1911</v>
      </c>
      <c r="CM112" t="s">
        <v>1044</v>
      </c>
      <c r="CN112" t="s">
        <v>1045</v>
      </c>
      <c r="CO112" t="s">
        <v>1912</v>
      </c>
      <c r="CP112" t="s">
        <v>1024</v>
      </c>
      <c r="CT112" t="s">
        <v>901</v>
      </c>
    </row>
    <row r="113" spans="1:98" x14ac:dyDescent="0.15">
      <c r="A113" t="s">
        <v>861</v>
      </c>
      <c r="B113" t="s">
        <v>862</v>
      </c>
      <c r="C113" t="s">
        <v>142</v>
      </c>
      <c r="D113" t="s">
        <v>142</v>
      </c>
      <c r="E113" t="s">
        <v>142</v>
      </c>
      <c r="F113" t="s">
        <v>863</v>
      </c>
      <c r="G113" t="s">
        <v>1025</v>
      </c>
      <c r="H113" t="s">
        <v>1026</v>
      </c>
      <c r="I113" t="s">
        <v>141</v>
      </c>
      <c r="J113" t="s">
        <v>1913</v>
      </c>
      <c r="K113" t="s">
        <v>867</v>
      </c>
      <c r="L113" t="s">
        <v>868</v>
      </c>
      <c r="N113" t="s">
        <v>1259</v>
      </c>
      <c r="O113">
        <v>0</v>
      </c>
      <c r="P113" t="s">
        <v>869</v>
      </c>
      <c r="Q113" t="s">
        <v>19</v>
      </c>
      <c r="R113" t="s">
        <v>870</v>
      </c>
      <c r="S113" t="s">
        <v>979</v>
      </c>
      <c r="T113" t="s">
        <v>1883</v>
      </c>
      <c r="U113" t="s">
        <v>1883</v>
      </c>
      <c r="V113" t="s">
        <v>1013</v>
      </c>
      <c r="W113" t="s">
        <v>1243</v>
      </c>
      <c r="Y113" t="s">
        <v>910</v>
      </c>
      <c r="Z113" t="s">
        <v>861</v>
      </c>
      <c r="AA113" t="s">
        <v>958</v>
      </c>
      <c r="AB113" t="s">
        <v>1914</v>
      </c>
      <c r="AF113" t="s">
        <v>1871</v>
      </c>
      <c r="AG113" t="s">
        <v>1915</v>
      </c>
      <c r="AH113" t="s">
        <v>1247</v>
      </c>
      <c r="AI113" t="s">
        <v>1261</v>
      </c>
      <c r="AJ113" t="s">
        <v>861</v>
      </c>
      <c r="AK113" t="s">
        <v>880</v>
      </c>
      <c r="AL113" t="s">
        <v>913</v>
      </c>
      <c r="AM113" t="s">
        <v>986</v>
      </c>
      <c r="AN113" t="s">
        <v>986</v>
      </c>
      <c r="AO113" t="s">
        <v>1916</v>
      </c>
      <c r="AP113" t="s">
        <v>1261</v>
      </c>
      <c r="AQ113" t="s">
        <v>1133</v>
      </c>
      <c r="AR113" t="s">
        <v>1917</v>
      </c>
      <c r="AS113" t="s">
        <v>1133</v>
      </c>
      <c r="AT113" t="s">
        <v>1133</v>
      </c>
      <c r="AU113" t="s">
        <v>886</v>
      </c>
      <c r="AW113" t="s">
        <v>1133</v>
      </c>
      <c r="AX113" t="s">
        <v>1133</v>
      </c>
      <c r="AZ113" t="s">
        <v>1226</v>
      </c>
      <c r="BA113" t="s">
        <v>1132</v>
      </c>
      <c r="BB113" t="s">
        <v>1918</v>
      </c>
      <c r="BK113" t="s">
        <v>891</v>
      </c>
      <c r="BL113">
        <v>1137</v>
      </c>
      <c r="BM113">
        <v>66.98</v>
      </c>
      <c r="BN113">
        <v>11612</v>
      </c>
      <c r="BO113">
        <v>24692.44</v>
      </c>
      <c r="BP113">
        <v>24692.44</v>
      </c>
      <c r="BQ113">
        <v>24692.44</v>
      </c>
      <c r="BR113">
        <v>0</v>
      </c>
      <c r="BS113" t="s">
        <v>892</v>
      </c>
      <c r="BT113">
        <v>1639</v>
      </c>
      <c r="BV113" t="s">
        <v>1876</v>
      </c>
      <c r="BW113" t="s">
        <v>1877</v>
      </c>
      <c r="BX113" t="s">
        <v>895</v>
      </c>
      <c r="BY113" t="s">
        <v>1899</v>
      </c>
      <c r="CD113" t="s">
        <v>1900</v>
      </c>
      <c r="CG113" t="s">
        <v>1913</v>
      </c>
      <c r="CH113" t="s">
        <v>898</v>
      </c>
      <c r="CI113" t="s">
        <v>1919</v>
      </c>
      <c r="CJ113" t="s">
        <v>1919</v>
      </c>
      <c r="CM113" t="s">
        <v>1044</v>
      </c>
      <c r="CN113" t="s">
        <v>1045</v>
      </c>
      <c r="CO113" t="s">
        <v>1920</v>
      </c>
      <c r="CP113" t="s">
        <v>1024</v>
      </c>
      <c r="CT113" t="s">
        <v>901</v>
      </c>
    </row>
    <row r="114" spans="1:98" x14ac:dyDescent="0.15">
      <c r="A114" t="s">
        <v>861</v>
      </c>
      <c r="B114" t="s">
        <v>862</v>
      </c>
      <c r="C114" t="s">
        <v>308</v>
      </c>
      <c r="D114" t="s">
        <v>308</v>
      </c>
      <c r="E114" t="s">
        <v>308</v>
      </c>
      <c r="F114" t="s">
        <v>863</v>
      </c>
      <c r="G114" t="s">
        <v>1025</v>
      </c>
      <c r="H114" t="s">
        <v>1026</v>
      </c>
      <c r="I114" t="s">
        <v>307</v>
      </c>
      <c r="J114" t="s">
        <v>1921</v>
      </c>
      <c r="K114" t="s">
        <v>867</v>
      </c>
      <c r="L114" t="s">
        <v>868</v>
      </c>
      <c r="N114" t="s">
        <v>861</v>
      </c>
      <c r="O114">
        <v>0</v>
      </c>
      <c r="P114" t="s">
        <v>869</v>
      </c>
      <c r="Q114" t="s">
        <v>19</v>
      </c>
      <c r="R114" t="s">
        <v>870</v>
      </c>
      <c r="S114" t="s">
        <v>979</v>
      </c>
      <c r="T114" t="s">
        <v>1883</v>
      </c>
      <c r="U114" t="s">
        <v>1883</v>
      </c>
      <c r="V114" t="s">
        <v>1013</v>
      </c>
      <c r="W114" t="s">
        <v>1243</v>
      </c>
      <c r="Y114" t="s">
        <v>910</v>
      </c>
      <c r="Z114" t="s">
        <v>861</v>
      </c>
      <c r="AA114" t="s">
        <v>958</v>
      </c>
      <c r="AB114" t="s">
        <v>1914</v>
      </c>
      <c r="AF114" t="s">
        <v>1871</v>
      </c>
      <c r="AG114" t="s">
        <v>1922</v>
      </c>
      <c r="AH114" t="s">
        <v>1247</v>
      </c>
      <c r="AI114" t="s">
        <v>1101</v>
      </c>
      <c r="AJ114" t="s">
        <v>861</v>
      </c>
      <c r="AK114" t="s">
        <v>880</v>
      </c>
      <c r="AL114" t="s">
        <v>913</v>
      </c>
      <c r="AM114" t="s">
        <v>986</v>
      </c>
      <c r="AN114" t="s">
        <v>986</v>
      </c>
      <c r="AO114" t="s">
        <v>1923</v>
      </c>
      <c r="AP114" t="s">
        <v>1101</v>
      </c>
      <c r="AQ114" t="s">
        <v>1133</v>
      </c>
      <c r="AR114" t="s">
        <v>1924</v>
      </c>
      <c r="AS114" t="s">
        <v>1133</v>
      </c>
      <c r="AT114" t="s">
        <v>1133</v>
      </c>
      <c r="AU114" t="s">
        <v>886</v>
      </c>
      <c r="AW114" t="s">
        <v>1133</v>
      </c>
      <c r="AX114" t="s">
        <v>1133</v>
      </c>
      <c r="AZ114" t="s">
        <v>1226</v>
      </c>
      <c r="BA114" t="s">
        <v>1132</v>
      </c>
      <c r="BB114" t="s">
        <v>1925</v>
      </c>
      <c r="BK114" t="s">
        <v>891</v>
      </c>
      <c r="BL114">
        <v>1244</v>
      </c>
      <c r="BM114">
        <v>65.349999999999994</v>
      </c>
      <c r="BN114">
        <v>11671</v>
      </c>
      <c r="BO114">
        <v>23169.8</v>
      </c>
      <c r="BP114">
        <v>23169.8</v>
      </c>
      <c r="BQ114">
        <v>23169.8</v>
      </c>
      <c r="BR114">
        <v>0</v>
      </c>
      <c r="BS114" t="s">
        <v>892</v>
      </c>
      <c r="BT114">
        <v>1639</v>
      </c>
      <c r="BV114" t="s">
        <v>1876</v>
      </c>
      <c r="BW114" t="s">
        <v>1877</v>
      </c>
      <c r="BX114" t="s">
        <v>895</v>
      </c>
      <c r="BY114" t="s">
        <v>1899</v>
      </c>
      <c r="CD114" t="s">
        <v>1926</v>
      </c>
      <c r="CG114" t="s">
        <v>1921</v>
      </c>
      <c r="CH114" t="s">
        <v>898</v>
      </c>
      <c r="CI114" t="s">
        <v>1927</v>
      </c>
      <c r="CJ114" t="s">
        <v>1927</v>
      </c>
      <c r="CM114" t="s">
        <v>1044</v>
      </c>
      <c r="CN114" t="s">
        <v>1045</v>
      </c>
      <c r="CO114" t="s">
        <v>1928</v>
      </c>
      <c r="CP114" t="s">
        <v>1024</v>
      </c>
      <c r="CT114" t="s">
        <v>901</v>
      </c>
    </row>
    <row r="115" spans="1:98" x14ac:dyDescent="0.15">
      <c r="A115" t="s">
        <v>861</v>
      </c>
      <c r="B115" t="s">
        <v>862</v>
      </c>
      <c r="C115" t="s">
        <v>288</v>
      </c>
      <c r="D115" t="s">
        <v>288</v>
      </c>
      <c r="E115" t="s">
        <v>288</v>
      </c>
      <c r="F115" t="s">
        <v>863</v>
      </c>
      <c r="G115" t="s">
        <v>1025</v>
      </c>
      <c r="H115" t="s">
        <v>1026</v>
      </c>
      <c r="I115" t="s">
        <v>287</v>
      </c>
      <c r="J115" t="s">
        <v>1929</v>
      </c>
      <c r="K115" t="s">
        <v>867</v>
      </c>
      <c r="L115" t="s">
        <v>868</v>
      </c>
      <c r="N115" t="s">
        <v>861</v>
      </c>
      <c r="O115">
        <v>0</v>
      </c>
      <c r="P115" t="s">
        <v>869</v>
      </c>
      <c r="Q115" t="s">
        <v>19</v>
      </c>
      <c r="R115" t="s">
        <v>870</v>
      </c>
      <c r="S115" t="s">
        <v>979</v>
      </c>
      <c r="T115" t="s">
        <v>1883</v>
      </c>
      <c r="U115" t="s">
        <v>1883</v>
      </c>
      <c r="V115" t="s">
        <v>1013</v>
      </c>
      <c r="Y115" t="s">
        <v>874</v>
      </c>
      <c r="Z115" t="s">
        <v>861</v>
      </c>
      <c r="AA115" t="s">
        <v>958</v>
      </c>
      <c r="AB115" t="s">
        <v>1930</v>
      </c>
      <c r="AF115" t="s">
        <v>1871</v>
      </c>
      <c r="AG115" t="s">
        <v>1931</v>
      </c>
      <c r="AH115" t="s">
        <v>1362</v>
      </c>
      <c r="AJ115" t="s">
        <v>861</v>
      </c>
      <c r="AK115" t="s">
        <v>880</v>
      </c>
      <c r="AL115" t="s">
        <v>913</v>
      </c>
      <c r="AM115" t="s">
        <v>986</v>
      </c>
      <c r="AN115" t="s">
        <v>986</v>
      </c>
      <c r="AO115" t="s">
        <v>1932</v>
      </c>
      <c r="AP115" t="s">
        <v>1101</v>
      </c>
      <c r="AQ115" t="s">
        <v>1133</v>
      </c>
      <c r="AR115" t="s">
        <v>1933</v>
      </c>
      <c r="AS115" t="s">
        <v>1133</v>
      </c>
      <c r="AT115" t="s">
        <v>1133</v>
      </c>
      <c r="AU115" t="s">
        <v>886</v>
      </c>
      <c r="AW115" t="s">
        <v>1133</v>
      </c>
      <c r="AX115" t="s">
        <v>1133</v>
      </c>
      <c r="AZ115" t="s">
        <v>1226</v>
      </c>
      <c r="BA115" t="s">
        <v>1132</v>
      </c>
      <c r="BB115" t="s">
        <v>1934</v>
      </c>
      <c r="BK115" t="s">
        <v>891</v>
      </c>
      <c r="BL115">
        <v>782</v>
      </c>
      <c r="BM115">
        <v>65.010000000000005</v>
      </c>
      <c r="BN115">
        <v>14546.2</v>
      </c>
      <c r="BO115">
        <v>21323.72</v>
      </c>
      <c r="BP115">
        <v>21323.72</v>
      </c>
      <c r="BQ115">
        <v>21323.72</v>
      </c>
      <c r="BR115">
        <v>0</v>
      </c>
      <c r="BS115" t="s">
        <v>892</v>
      </c>
      <c r="BT115">
        <v>1639</v>
      </c>
      <c r="BV115" t="s">
        <v>1876</v>
      </c>
      <c r="BW115" t="s">
        <v>1877</v>
      </c>
      <c r="BX115" t="s">
        <v>895</v>
      </c>
      <c r="BY115" t="s">
        <v>1935</v>
      </c>
      <c r="CD115" t="s">
        <v>1936</v>
      </c>
      <c r="CG115" t="s">
        <v>1929</v>
      </c>
      <c r="CH115" t="s">
        <v>898</v>
      </c>
      <c r="CI115" t="s">
        <v>1937</v>
      </c>
      <c r="CJ115" t="s">
        <v>1937</v>
      </c>
      <c r="CM115" t="s">
        <v>1044</v>
      </c>
      <c r="CN115" t="s">
        <v>1045</v>
      </c>
      <c r="CO115" t="s">
        <v>1938</v>
      </c>
      <c r="CP115" t="s">
        <v>1024</v>
      </c>
      <c r="CT115" t="s">
        <v>901</v>
      </c>
    </row>
    <row r="116" spans="1:98" x14ac:dyDescent="0.15">
      <c r="A116" t="s">
        <v>861</v>
      </c>
      <c r="B116" t="s">
        <v>862</v>
      </c>
      <c r="C116" t="s">
        <v>302</v>
      </c>
      <c r="D116" t="s">
        <v>302</v>
      </c>
      <c r="E116" t="s">
        <v>302</v>
      </c>
      <c r="F116" t="s">
        <v>863</v>
      </c>
      <c r="G116" t="s">
        <v>1025</v>
      </c>
      <c r="H116" t="s">
        <v>1026</v>
      </c>
      <c r="I116" t="s">
        <v>301</v>
      </c>
      <c r="J116" t="s">
        <v>1939</v>
      </c>
      <c r="K116" t="s">
        <v>867</v>
      </c>
      <c r="L116" t="s">
        <v>868</v>
      </c>
      <c r="N116" t="s">
        <v>861</v>
      </c>
      <c r="O116">
        <v>0</v>
      </c>
      <c r="P116" t="s">
        <v>869</v>
      </c>
      <c r="Q116" t="s">
        <v>19</v>
      </c>
      <c r="R116" t="s">
        <v>870</v>
      </c>
      <c r="S116" t="s">
        <v>979</v>
      </c>
      <c r="T116" t="s">
        <v>1883</v>
      </c>
      <c r="U116" t="s">
        <v>1883</v>
      </c>
      <c r="V116" t="s">
        <v>1013</v>
      </c>
      <c r="W116" t="s">
        <v>1243</v>
      </c>
      <c r="Y116" t="s">
        <v>874</v>
      </c>
      <c r="Z116" t="s">
        <v>861</v>
      </c>
      <c r="AA116" t="s">
        <v>958</v>
      </c>
      <c r="AB116" t="s">
        <v>1940</v>
      </c>
      <c r="AF116" t="s">
        <v>1871</v>
      </c>
      <c r="AG116" t="s">
        <v>1941</v>
      </c>
      <c r="AH116" t="s">
        <v>1247</v>
      </c>
      <c r="AI116" t="s">
        <v>1101</v>
      </c>
      <c r="AJ116" t="s">
        <v>861</v>
      </c>
      <c r="AK116" t="s">
        <v>880</v>
      </c>
      <c r="AL116" t="s">
        <v>913</v>
      </c>
      <c r="AM116" t="s">
        <v>986</v>
      </c>
      <c r="AN116" t="s">
        <v>986</v>
      </c>
      <c r="AO116" t="s">
        <v>1942</v>
      </c>
      <c r="AP116" t="s">
        <v>1101</v>
      </c>
      <c r="AQ116" t="s">
        <v>1131</v>
      </c>
      <c r="AR116" t="s">
        <v>1943</v>
      </c>
      <c r="AS116" t="s">
        <v>1131</v>
      </c>
      <c r="AT116" t="s">
        <v>1133</v>
      </c>
      <c r="AU116" t="s">
        <v>886</v>
      </c>
      <c r="AW116" t="s">
        <v>1133</v>
      </c>
      <c r="AX116" t="s">
        <v>1133</v>
      </c>
      <c r="AZ116" t="s">
        <v>1088</v>
      </c>
      <c r="BA116" t="s">
        <v>1132</v>
      </c>
      <c r="BB116" t="s">
        <v>1944</v>
      </c>
      <c r="BK116" t="s">
        <v>891</v>
      </c>
      <c r="BL116">
        <v>659</v>
      </c>
      <c r="BM116">
        <v>67.53</v>
      </c>
      <c r="BN116">
        <v>7174.9</v>
      </c>
      <c r="BO116">
        <v>25001.599999999999</v>
      </c>
      <c r="BP116">
        <v>25001.599999999999</v>
      </c>
      <c r="BQ116">
        <v>25001.599999999999</v>
      </c>
      <c r="BR116">
        <v>0</v>
      </c>
      <c r="BS116" t="s">
        <v>892</v>
      </c>
      <c r="BT116">
        <v>1639</v>
      </c>
      <c r="BV116" t="s">
        <v>1876</v>
      </c>
      <c r="BW116" t="s">
        <v>1877</v>
      </c>
      <c r="BX116" t="s">
        <v>895</v>
      </c>
      <c r="BY116" t="s">
        <v>1935</v>
      </c>
      <c r="CD116" t="s">
        <v>1945</v>
      </c>
      <c r="CG116" t="s">
        <v>1939</v>
      </c>
      <c r="CH116" t="s">
        <v>898</v>
      </c>
      <c r="CI116" t="s">
        <v>1946</v>
      </c>
      <c r="CJ116" t="s">
        <v>1946</v>
      </c>
      <c r="CM116" t="s">
        <v>1044</v>
      </c>
      <c r="CN116" t="s">
        <v>1045</v>
      </c>
      <c r="CO116" t="s">
        <v>1947</v>
      </c>
      <c r="CP116" t="s">
        <v>1024</v>
      </c>
      <c r="CT116" t="s">
        <v>901</v>
      </c>
    </row>
    <row r="117" spans="1:98" x14ac:dyDescent="0.15">
      <c r="A117" t="s">
        <v>861</v>
      </c>
      <c r="B117" t="s">
        <v>862</v>
      </c>
      <c r="C117" t="s">
        <v>314</v>
      </c>
      <c r="D117" t="s">
        <v>314</v>
      </c>
      <c r="E117" t="s">
        <v>314</v>
      </c>
      <c r="F117" t="s">
        <v>863</v>
      </c>
      <c r="G117" t="s">
        <v>1025</v>
      </c>
      <c r="H117" t="s">
        <v>1026</v>
      </c>
      <c r="I117" t="s">
        <v>313</v>
      </c>
      <c r="J117" t="s">
        <v>1948</v>
      </c>
      <c r="K117" t="s">
        <v>867</v>
      </c>
      <c r="L117" t="s">
        <v>868</v>
      </c>
      <c r="N117" t="s">
        <v>1259</v>
      </c>
      <c r="O117">
        <v>0</v>
      </c>
      <c r="P117" t="s">
        <v>869</v>
      </c>
      <c r="Q117" t="s">
        <v>19</v>
      </c>
      <c r="R117" t="s">
        <v>870</v>
      </c>
      <c r="S117" t="s">
        <v>979</v>
      </c>
      <c r="T117" t="s">
        <v>1883</v>
      </c>
      <c r="U117" t="s">
        <v>1883</v>
      </c>
      <c r="V117" t="s">
        <v>1013</v>
      </c>
      <c r="W117" t="s">
        <v>1243</v>
      </c>
      <c r="Y117" t="s">
        <v>874</v>
      </c>
      <c r="Z117" t="s">
        <v>861</v>
      </c>
      <c r="AA117" t="s">
        <v>958</v>
      </c>
      <c r="AB117" t="s">
        <v>1949</v>
      </c>
      <c r="AF117" t="s">
        <v>1871</v>
      </c>
      <c r="AG117" t="s">
        <v>1950</v>
      </c>
      <c r="AH117" t="s">
        <v>1247</v>
      </c>
      <c r="AI117" t="s">
        <v>1101</v>
      </c>
      <c r="AJ117" t="s">
        <v>861</v>
      </c>
      <c r="AK117" t="s">
        <v>880</v>
      </c>
      <c r="AL117" t="s">
        <v>913</v>
      </c>
      <c r="AM117" t="s">
        <v>986</v>
      </c>
      <c r="AN117" t="s">
        <v>986</v>
      </c>
      <c r="AO117" t="s">
        <v>1951</v>
      </c>
      <c r="AP117" t="s">
        <v>1101</v>
      </c>
      <c r="AQ117" t="s">
        <v>1131</v>
      </c>
      <c r="AR117" t="s">
        <v>1952</v>
      </c>
      <c r="AS117" t="s">
        <v>1131</v>
      </c>
      <c r="AT117" t="s">
        <v>1133</v>
      </c>
      <c r="AU117" t="s">
        <v>886</v>
      </c>
      <c r="AW117" t="s">
        <v>1133</v>
      </c>
      <c r="AX117" t="s">
        <v>1133</v>
      </c>
      <c r="AZ117" t="s">
        <v>1088</v>
      </c>
      <c r="BA117" t="s">
        <v>1132</v>
      </c>
      <c r="BB117" t="s">
        <v>1953</v>
      </c>
      <c r="BK117" t="s">
        <v>891</v>
      </c>
      <c r="BL117">
        <v>997</v>
      </c>
      <c r="BM117">
        <v>67.64</v>
      </c>
      <c r="BN117">
        <v>10735</v>
      </c>
      <c r="BO117">
        <v>23046.6</v>
      </c>
      <c r="BP117">
        <v>23046.6</v>
      </c>
      <c r="BQ117">
        <v>23046.6</v>
      </c>
      <c r="BR117">
        <v>0</v>
      </c>
      <c r="BS117" t="s">
        <v>892</v>
      </c>
      <c r="BT117">
        <v>1639</v>
      </c>
      <c r="BV117" t="s">
        <v>1876</v>
      </c>
      <c r="BW117" t="s">
        <v>1877</v>
      </c>
      <c r="BX117" t="s">
        <v>895</v>
      </c>
      <c r="BY117" t="s">
        <v>1935</v>
      </c>
      <c r="CD117" t="s">
        <v>1954</v>
      </c>
      <c r="CG117" t="s">
        <v>1948</v>
      </c>
      <c r="CH117" t="s">
        <v>898</v>
      </c>
      <c r="CI117" t="s">
        <v>1955</v>
      </c>
      <c r="CJ117" t="s">
        <v>1955</v>
      </c>
      <c r="CM117" t="s">
        <v>1044</v>
      </c>
      <c r="CN117" t="s">
        <v>1045</v>
      </c>
      <c r="CO117" t="s">
        <v>1956</v>
      </c>
      <c r="CP117" t="s">
        <v>1024</v>
      </c>
      <c r="CT117" t="s">
        <v>901</v>
      </c>
    </row>
    <row r="118" spans="1:98" x14ac:dyDescent="0.15">
      <c r="A118" t="s">
        <v>861</v>
      </c>
      <c r="B118" t="s">
        <v>862</v>
      </c>
      <c r="C118" t="s">
        <v>405</v>
      </c>
      <c r="D118" t="s">
        <v>405</v>
      </c>
      <c r="E118" t="s">
        <v>405</v>
      </c>
      <c r="F118" t="s">
        <v>863</v>
      </c>
      <c r="G118" t="s">
        <v>1025</v>
      </c>
      <c r="H118" t="s">
        <v>1026</v>
      </c>
      <c r="I118" t="s">
        <v>404</v>
      </c>
      <c r="J118" t="s">
        <v>1957</v>
      </c>
      <c r="K118" t="s">
        <v>867</v>
      </c>
      <c r="L118" t="s">
        <v>868</v>
      </c>
      <c r="N118" t="s">
        <v>861</v>
      </c>
      <c r="O118">
        <v>0</v>
      </c>
      <c r="P118" t="s">
        <v>869</v>
      </c>
      <c r="Q118" t="s">
        <v>19</v>
      </c>
      <c r="R118" t="s">
        <v>870</v>
      </c>
      <c r="S118" t="s">
        <v>979</v>
      </c>
      <c r="T118" t="s">
        <v>1883</v>
      </c>
      <c r="U118" t="s">
        <v>1883</v>
      </c>
      <c r="V118" t="s">
        <v>1013</v>
      </c>
      <c r="Y118" t="s">
        <v>874</v>
      </c>
      <c r="Z118" t="s">
        <v>861</v>
      </c>
      <c r="AA118" t="s">
        <v>875</v>
      </c>
      <c r="AF118" t="s">
        <v>1871</v>
      </c>
      <c r="AG118" t="s">
        <v>1958</v>
      </c>
      <c r="AH118" t="s">
        <v>1362</v>
      </c>
      <c r="AJ118" t="s">
        <v>861</v>
      </c>
      <c r="AK118" t="s">
        <v>880</v>
      </c>
      <c r="AL118" t="s">
        <v>913</v>
      </c>
      <c r="AM118" t="s">
        <v>986</v>
      </c>
      <c r="AN118" t="s">
        <v>986</v>
      </c>
      <c r="AO118" t="s">
        <v>1959</v>
      </c>
      <c r="AP118" t="s">
        <v>1261</v>
      </c>
      <c r="AQ118" t="s">
        <v>1133</v>
      </c>
      <c r="AR118" t="s">
        <v>1960</v>
      </c>
      <c r="AS118" t="s">
        <v>1133</v>
      </c>
      <c r="AT118" t="s">
        <v>1133</v>
      </c>
      <c r="AU118" t="s">
        <v>886</v>
      </c>
      <c r="AW118" t="s">
        <v>1133</v>
      </c>
      <c r="AX118" t="s">
        <v>1133</v>
      </c>
      <c r="AZ118" t="s">
        <v>1226</v>
      </c>
      <c r="BA118" t="s">
        <v>1132</v>
      </c>
      <c r="BB118" t="s">
        <v>1961</v>
      </c>
      <c r="BK118" t="s">
        <v>891</v>
      </c>
      <c r="BL118">
        <v>1541</v>
      </c>
      <c r="BM118">
        <v>65.11</v>
      </c>
      <c r="BN118">
        <v>14474</v>
      </c>
      <c r="BO118">
        <v>26783.07</v>
      </c>
      <c r="BP118">
        <v>26783.07</v>
      </c>
      <c r="BQ118">
        <v>26783.07</v>
      </c>
      <c r="BR118">
        <v>0</v>
      </c>
      <c r="BS118" t="s">
        <v>892</v>
      </c>
      <c r="BT118">
        <v>1639</v>
      </c>
      <c r="BV118" t="s">
        <v>1876</v>
      </c>
      <c r="BW118" t="s">
        <v>1877</v>
      </c>
      <c r="BX118" t="s">
        <v>895</v>
      </c>
      <c r="BY118" t="s">
        <v>1962</v>
      </c>
      <c r="CD118" t="s">
        <v>1963</v>
      </c>
      <c r="CG118" t="s">
        <v>1957</v>
      </c>
      <c r="CH118" t="s">
        <v>898</v>
      </c>
      <c r="CI118" t="s">
        <v>1964</v>
      </c>
      <c r="CJ118" t="s">
        <v>1964</v>
      </c>
      <c r="CM118" t="s">
        <v>1044</v>
      </c>
      <c r="CN118" t="s">
        <v>1045</v>
      </c>
      <c r="CO118" t="s">
        <v>1965</v>
      </c>
      <c r="CP118" t="s">
        <v>1024</v>
      </c>
      <c r="CT118" t="s">
        <v>901</v>
      </c>
    </row>
    <row r="119" spans="1:98" x14ac:dyDescent="0.15">
      <c r="A119" t="s">
        <v>861</v>
      </c>
      <c r="B119" t="s">
        <v>862</v>
      </c>
      <c r="C119" t="s">
        <v>290</v>
      </c>
      <c r="D119" t="s">
        <v>290</v>
      </c>
      <c r="E119" t="s">
        <v>290</v>
      </c>
      <c r="F119" t="s">
        <v>863</v>
      </c>
      <c r="G119" t="s">
        <v>1025</v>
      </c>
      <c r="H119" t="s">
        <v>1026</v>
      </c>
      <c r="I119" t="s">
        <v>289</v>
      </c>
      <c r="J119" t="s">
        <v>1966</v>
      </c>
      <c r="K119" t="s">
        <v>867</v>
      </c>
      <c r="L119" t="s">
        <v>868</v>
      </c>
      <c r="N119" t="s">
        <v>861</v>
      </c>
      <c r="O119">
        <v>0</v>
      </c>
      <c r="P119" t="s">
        <v>869</v>
      </c>
      <c r="Q119" t="s">
        <v>19</v>
      </c>
      <c r="R119" t="s">
        <v>870</v>
      </c>
      <c r="S119" t="s">
        <v>979</v>
      </c>
      <c r="T119" t="s">
        <v>1883</v>
      </c>
      <c r="U119" t="s">
        <v>1883</v>
      </c>
      <c r="V119" t="s">
        <v>1013</v>
      </c>
      <c r="W119" t="s">
        <v>1243</v>
      </c>
      <c r="Y119" t="s">
        <v>874</v>
      </c>
      <c r="Z119" t="s">
        <v>861</v>
      </c>
      <c r="AA119" t="s">
        <v>958</v>
      </c>
      <c r="AB119" t="s">
        <v>1967</v>
      </c>
      <c r="AF119" t="s">
        <v>1871</v>
      </c>
      <c r="AG119" t="s">
        <v>1968</v>
      </c>
      <c r="AH119" t="s">
        <v>1247</v>
      </c>
      <c r="AI119" t="s">
        <v>1101</v>
      </c>
      <c r="AJ119" t="s">
        <v>861</v>
      </c>
      <c r="AK119" t="s">
        <v>880</v>
      </c>
      <c r="AL119" t="s">
        <v>913</v>
      </c>
      <c r="AM119" t="s">
        <v>986</v>
      </c>
      <c r="AN119" t="s">
        <v>986</v>
      </c>
      <c r="AO119" t="s">
        <v>1969</v>
      </c>
      <c r="AP119" t="s">
        <v>1101</v>
      </c>
      <c r="AQ119" t="s">
        <v>1131</v>
      </c>
      <c r="AR119" t="s">
        <v>1970</v>
      </c>
      <c r="AS119" t="s">
        <v>1131</v>
      </c>
      <c r="AT119" t="s">
        <v>1133</v>
      </c>
      <c r="AU119" t="s">
        <v>886</v>
      </c>
      <c r="AW119" t="s">
        <v>1133</v>
      </c>
      <c r="AX119" t="s">
        <v>1133</v>
      </c>
      <c r="AZ119" t="s">
        <v>1226</v>
      </c>
      <c r="BA119" t="s">
        <v>1132</v>
      </c>
      <c r="BB119" t="s">
        <v>1971</v>
      </c>
      <c r="BK119" t="s">
        <v>891</v>
      </c>
      <c r="BL119">
        <v>826</v>
      </c>
      <c r="BM119">
        <v>65.44</v>
      </c>
      <c r="BN119">
        <v>10694</v>
      </c>
      <c r="BO119">
        <v>27269.52</v>
      </c>
      <c r="BP119">
        <v>27269.52</v>
      </c>
      <c r="BQ119">
        <v>27269.52</v>
      </c>
      <c r="BR119">
        <v>0</v>
      </c>
      <c r="BS119" t="s">
        <v>892</v>
      </c>
      <c r="BT119">
        <v>1639</v>
      </c>
      <c r="BV119" t="s">
        <v>1876</v>
      </c>
      <c r="BW119" t="s">
        <v>1877</v>
      </c>
      <c r="BX119" t="s">
        <v>895</v>
      </c>
      <c r="BY119" t="s">
        <v>1909</v>
      </c>
      <c r="CD119" t="s">
        <v>1972</v>
      </c>
      <c r="CG119" t="s">
        <v>1966</v>
      </c>
      <c r="CH119" t="s">
        <v>898</v>
      </c>
      <c r="CI119" t="s">
        <v>1973</v>
      </c>
      <c r="CJ119" t="s">
        <v>1973</v>
      </c>
      <c r="CM119" t="s">
        <v>1044</v>
      </c>
      <c r="CN119" t="s">
        <v>1045</v>
      </c>
      <c r="CO119" t="s">
        <v>1974</v>
      </c>
      <c r="CP119" t="s">
        <v>1024</v>
      </c>
      <c r="CT119" t="s">
        <v>901</v>
      </c>
    </row>
    <row r="120" spans="1:98" x14ac:dyDescent="0.15">
      <c r="A120" t="s">
        <v>861</v>
      </c>
      <c r="B120" t="s">
        <v>862</v>
      </c>
      <c r="C120" t="s">
        <v>427</v>
      </c>
      <c r="D120" t="s">
        <v>427</v>
      </c>
      <c r="E120" t="s">
        <v>427</v>
      </c>
      <c r="F120" t="s">
        <v>863</v>
      </c>
      <c r="G120" t="s">
        <v>1025</v>
      </c>
      <c r="H120" t="s">
        <v>1026</v>
      </c>
      <c r="I120" t="s">
        <v>426</v>
      </c>
      <c r="J120" t="s">
        <v>1975</v>
      </c>
      <c r="K120" t="s">
        <v>867</v>
      </c>
      <c r="L120" t="s">
        <v>868</v>
      </c>
      <c r="N120" t="s">
        <v>861</v>
      </c>
      <c r="O120">
        <v>0</v>
      </c>
      <c r="P120" t="s">
        <v>869</v>
      </c>
      <c r="Q120" t="s">
        <v>19</v>
      </c>
      <c r="R120" t="s">
        <v>870</v>
      </c>
      <c r="S120" t="s">
        <v>979</v>
      </c>
      <c r="T120" t="s">
        <v>1883</v>
      </c>
      <c r="U120" t="s">
        <v>1883</v>
      </c>
      <c r="V120" t="s">
        <v>1013</v>
      </c>
      <c r="W120" t="s">
        <v>1243</v>
      </c>
      <c r="Y120" t="s">
        <v>874</v>
      </c>
      <c r="Z120" t="s">
        <v>861</v>
      </c>
      <c r="AA120" t="s">
        <v>958</v>
      </c>
      <c r="AB120" t="s">
        <v>1976</v>
      </c>
      <c r="AF120" t="s">
        <v>1871</v>
      </c>
      <c r="AG120" t="s">
        <v>1977</v>
      </c>
      <c r="AH120" t="s">
        <v>1247</v>
      </c>
      <c r="AI120" t="s">
        <v>1101</v>
      </c>
      <c r="AJ120" t="s">
        <v>861</v>
      </c>
      <c r="AK120" t="s">
        <v>880</v>
      </c>
      <c r="AL120" t="s">
        <v>913</v>
      </c>
      <c r="AM120" t="s">
        <v>986</v>
      </c>
      <c r="AN120" t="s">
        <v>986</v>
      </c>
      <c r="AO120" t="s">
        <v>1978</v>
      </c>
      <c r="AP120" t="s">
        <v>1101</v>
      </c>
      <c r="AQ120" t="s">
        <v>1133</v>
      </c>
      <c r="AR120" t="s">
        <v>1979</v>
      </c>
      <c r="AS120" t="s">
        <v>1133</v>
      </c>
      <c r="AT120" t="s">
        <v>1133</v>
      </c>
      <c r="AU120" t="s">
        <v>886</v>
      </c>
      <c r="AW120" t="s">
        <v>1133</v>
      </c>
      <c r="AX120" t="s">
        <v>1133</v>
      </c>
      <c r="AZ120" t="s">
        <v>1088</v>
      </c>
      <c r="BA120" t="s">
        <v>1132</v>
      </c>
      <c r="BB120" t="s">
        <v>1980</v>
      </c>
      <c r="BK120" t="s">
        <v>891</v>
      </c>
      <c r="BL120">
        <v>596</v>
      </c>
      <c r="BM120">
        <v>67.52</v>
      </c>
      <c r="BN120">
        <v>8699.4</v>
      </c>
      <c r="BO120">
        <v>14127.36</v>
      </c>
      <c r="BP120">
        <v>14127.36</v>
      </c>
      <c r="BQ120">
        <v>14127.36</v>
      </c>
      <c r="BR120">
        <v>0</v>
      </c>
      <c r="BS120" t="s">
        <v>892</v>
      </c>
      <c r="BT120">
        <v>1639</v>
      </c>
      <c r="BV120" t="s">
        <v>1876</v>
      </c>
      <c r="BW120" t="s">
        <v>1877</v>
      </c>
      <c r="BX120" t="s">
        <v>895</v>
      </c>
      <c r="BY120" t="s">
        <v>1962</v>
      </c>
      <c r="CD120" t="s">
        <v>1954</v>
      </c>
      <c r="CG120" t="s">
        <v>1975</v>
      </c>
      <c r="CH120" t="s">
        <v>898</v>
      </c>
      <c r="CI120" t="s">
        <v>1981</v>
      </c>
      <c r="CJ120" t="s">
        <v>1981</v>
      </c>
      <c r="CM120" t="s">
        <v>1044</v>
      </c>
      <c r="CN120" t="s">
        <v>1045</v>
      </c>
      <c r="CO120" t="s">
        <v>1982</v>
      </c>
      <c r="CP120" t="s">
        <v>1024</v>
      </c>
      <c r="CT120" t="s">
        <v>901</v>
      </c>
    </row>
    <row r="121" spans="1:98" x14ac:dyDescent="0.15">
      <c r="A121" t="s">
        <v>861</v>
      </c>
      <c r="B121" t="s">
        <v>862</v>
      </c>
      <c r="C121" t="s">
        <v>354</v>
      </c>
      <c r="D121" t="s">
        <v>354</v>
      </c>
      <c r="E121" t="s">
        <v>354</v>
      </c>
      <c r="F121" t="s">
        <v>863</v>
      </c>
      <c r="G121" t="s">
        <v>1025</v>
      </c>
      <c r="H121" t="s">
        <v>1026</v>
      </c>
      <c r="I121" t="s">
        <v>353</v>
      </c>
      <c r="J121" t="s">
        <v>1983</v>
      </c>
      <c r="K121" t="s">
        <v>867</v>
      </c>
      <c r="L121" t="s">
        <v>868</v>
      </c>
      <c r="N121" t="s">
        <v>1259</v>
      </c>
      <c r="O121">
        <v>0</v>
      </c>
      <c r="P121" t="s">
        <v>869</v>
      </c>
      <c r="Q121" t="s">
        <v>15</v>
      </c>
      <c r="R121" t="s">
        <v>870</v>
      </c>
      <c r="S121" t="s">
        <v>954</v>
      </c>
      <c r="T121" t="s">
        <v>1077</v>
      </c>
      <c r="U121" t="s">
        <v>1077</v>
      </c>
      <c r="V121" t="s">
        <v>1078</v>
      </c>
      <c r="W121" t="s">
        <v>1079</v>
      </c>
      <c r="Y121" t="s">
        <v>874</v>
      </c>
      <c r="Z121" t="s">
        <v>861</v>
      </c>
      <c r="AA121" t="s">
        <v>875</v>
      </c>
      <c r="AF121" t="s">
        <v>1081</v>
      </c>
      <c r="AG121" t="s">
        <v>1984</v>
      </c>
      <c r="AH121" t="s">
        <v>964</v>
      </c>
      <c r="AI121" t="s">
        <v>1083</v>
      </c>
      <c r="AJ121" t="s">
        <v>861</v>
      </c>
      <c r="AK121" t="s">
        <v>880</v>
      </c>
      <c r="AL121" t="s">
        <v>966</v>
      </c>
      <c r="AM121" t="s">
        <v>967</v>
      </c>
      <c r="AN121" t="s">
        <v>967</v>
      </c>
      <c r="AO121" t="s">
        <v>1985</v>
      </c>
      <c r="AP121" t="s">
        <v>1083</v>
      </c>
      <c r="AQ121" t="s">
        <v>1083</v>
      </c>
      <c r="AR121" t="s">
        <v>1986</v>
      </c>
      <c r="AS121" t="s">
        <v>1083</v>
      </c>
      <c r="AT121" t="s">
        <v>1083</v>
      </c>
      <c r="AU121" t="s">
        <v>886</v>
      </c>
      <c r="AW121" t="s">
        <v>1489</v>
      </c>
      <c r="AX121" t="s">
        <v>1337</v>
      </c>
      <c r="AZ121" t="s">
        <v>1226</v>
      </c>
      <c r="BA121" t="s">
        <v>1252</v>
      </c>
      <c r="BB121" t="s">
        <v>1987</v>
      </c>
      <c r="BH121" t="s">
        <v>1988</v>
      </c>
      <c r="BK121" t="s">
        <v>891</v>
      </c>
      <c r="BL121">
        <v>1677</v>
      </c>
      <c r="BM121">
        <v>64.12</v>
      </c>
      <c r="BN121">
        <v>16534.5</v>
      </c>
      <c r="BO121">
        <v>38885.22</v>
      </c>
      <c r="BP121">
        <v>38885.22</v>
      </c>
      <c r="BQ121">
        <v>38885.22</v>
      </c>
      <c r="BR121">
        <v>0</v>
      </c>
      <c r="BS121" t="s">
        <v>892</v>
      </c>
      <c r="BT121">
        <v>2529</v>
      </c>
      <c r="BV121" t="s">
        <v>1092</v>
      </c>
      <c r="BW121" t="s">
        <v>1093</v>
      </c>
      <c r="BX121" t="s">
        <v>895</v>
      </c>
      <c r="BY121" t="s">
        <v>1789</v>
      </c>
      <c r="CD121" t="s">
        <v>1989</v>
      </c>
      <c r="CG121" t="s">
        <v>1983</v>
      </c>
      <c r="CH121" t="s">
        <v>898</v>
      </c>
      <c r="CI121" t="s">
        <v>1990</v>
      </c>
      <c r="CJ121" t="s">
        <v>1990</v>
      </c>
      <c r="CM121" t="s">
        <v>1044</v>
      </c>
      <c r="CN121" t="s">
        <v>1045</v>
      </c>
      <c r="CO121" t="s">
        <v>1991</v>
      </c>
      <c r="CP121" t="s">
        <v>1029</v>
      </c>
      <c r="CT121" t="s">
        <v>901</v>
      </c>
    </row>
    <row r="122" spans="1:98" x14ac:dyDescent="0.15">
      <c r="A122" t="s">
        <v>861</v>
      </c>
      <c r="B122" t="s">
        <v>862</v>
      </c>
      <c r="C122" t="s">
        <v>182</v>
      </c>
      <c r="D122" t="s">
        <v>182</v>
      </c>
      <c r="E122" t="s">
        <v>182</v>
      </c>
      <c r="F122" t="s">
        <v>863</v>
      </c>
      <c r="G122" t="s">
        <v>1025</v>
      </c>
      <c r="H122" t="s">
        <v>1026</v>
      </c>
      <c r="I122" t="s">
        <v>181</v>
      </c>
      <c r="J122" t="s">
        <v>1992</v>
      </c>
      <c r="K122" t="s">
        <v>867</v>
      </c>
      <c r="L122" t="s">
        <v>868</v>
      </c>
      <c r="N122" t="s">
        <v>861</v>
      </c>
      <c r="O122">
        <v>0</v>
      </c>
      <c r="P122" t="s">
        <v>869</v>
      </c>
      <c r="Q122" t="s">
        <v>15</v>
      </c>
      <c r="R122" t="s">
        <v>870</v>
      </c>
      <c r="S122" t="s">
        <v>954</v>
      </c>
      <c r="T122" t="s">
        <v>1077</v>
      </c>
      <c r="U122" t="s">
        <v>1077</v>
      </c>
      <c r="V122" t="s">
        <v>1078</v>
      </c>
      <c r="W122" t="s">
        <v>1079</v>
      </c>
      <c r="Y122" t="s">
        <v>874</v>
      </c>
      <c r="Z122" t="s">
        <v>861</v>
      </c>
      <c r="AA122" t="s">
        <v>922</v>
      </c>
      <c r="AF122" t="s">
        <v>1081</v>
      </c>
      <c r="AG122" t="s">
        <v>1993</v>
      </c>
      <c r="AH122" t="s">
        <v>964</v>
      </c>
      <c r="AI122" t="s">
        <v>1101</v>
      </c>
      <c r="AJ122" t="s">
        <v>861</v>
      </c>
      <c r="AK122" t="s">
        <v>880</v>
      </c>
      <c r="AL122" t="s">
        <v>1001</v>
      </c>
      <c r="AM122" t="s">
        <v>967</v>
      </c>
      <c r="AN122" t="s">
        <v>967</v>
      </c>
      <c r="AO122" t="s">
        <v>1994</v>
      </c>
      <c r="AP122" t="s">
        <v>1101</v>
      </c>
      <c r="AQ122" t="s">
        <v>1995</v>
      </c>
      <c r="AR122" t="s">
        <v>1995</v>
      </c>
      <c r="AS122" t="s">
        <v>1995</v>
      </c>
      <c r="AT122" t="s">
        <v>1995</v>
      </c>
      <c r="AU122" t="s">
        <v>886</v>
      </c>
      <c r="AW122" t="s">
        <v>1996</v>
      </c>
      <c r="AX122" t="s">
        <v>1105</v>
      </c>
      <c r="AZ122" t="s">
        <v>999</v>
      </c>
      <c r="BA122" t="s">
        <v>1087</v>
      </c>
      <c r="BB122" t="s">
        <v>1997</v>
      </c>
      <c r="BK122" t="s">
        <v>891</v>
      </c>
      <c r="BL122">
        <v>669</v>
      </c>
      <c r="BM122">
        <v>66.45</v>
      </c>
      <c r="BN122">
        <v>6737.5</v>
      </c>
      <c r="BO122">
        <v>12747.21</v>
      </c>
      <c r="BP122">
        <v>12747.21</v>
      </c>
      <c r="BQ122">
        <v>12747.21</v>
      </c>
      <c r="BR122">
        <v>0</v>
      </c>
      <c r="BS122" t="s">
        <v>892</v>
      </c>
      <c r="BT122">
        <v>2529</v>
      </c>
      <c r="BV122" t="s">
        <v>1092</v>
      </c>
      <c r="BW122" t="s">
        <v>1093</v>
      </c>
      <c r="BX122" t="s">
        <v>895</v>
      </c>
      <c r="BY122" t="s">
        <v>1998</v>
      </c>
      <c r="CD122" t="s">
        <v>1999</v>
      </c>
      <c r="CG122" t="s">
        <v>1992</v>
      </c>
      <c r="CH122" t="s">
        <v>898</v>
      </c>
      <c r="CI122" t="s">
        <v>2000</v>
      </c>
      <c r="CJ122" t="s">
        <v>2000</v>
      </c>
      <c r="CM122" t="s">
        <v>1044</v>
      </c>
      <c r="CN122" t="s">
        <v>1045</v>
      </c>
      <c r="CO122" t="s">
        <v>2001</v>
      </c>
      <c r="CP122" t="s">
        <v>1029</v>
      </c>
      <c r="CT122" t="s">
        <v>901</v>
      </c>
    </row>
    <row r="123" spans="1:98" x14ac:dyDescent="0.15">
      <c r="A123" t="s">
        <v>861</v>
      </c>
      <c r="B123" t="s">
        <v>862</v>
      </c>
      <c r="C123" t="s">
        <v>352</v>
      </c>
      <c r="D123" t="s">
        <v>352</v>
      </c>
      <c r="E123" t="s">
        <v>352</v>
      </c>
      <c r="F123" t="s">
        <v>863</v>
      </c>
      <c r="G123" t="s">
        <v>1025</v>
      </c>
      <c r="H123" t="s">
        <v>1026</v>
      </c>
      <c r="I123" t="s">
        <v>351</v>
      </c>
      <c r="J123" t="s">
        <v>2002</v>
      </c>
      <c r="K123" t="s">
        <v>867</v>
      </c>
      <c r="L123" t="s">
        <v>868</v>
      </c>
      <c r="N123" t="s">
        <v>861</v>
      </c>
      <c r="O123">
        <v>0</v>
      </c>
      <c r="P123" t="s">
        <v>869</v>
      </c>
      <c r="Q123" t="s">
        <v>15</v>
      </c>
      <c r="R123" t="s">
        <v>870</v>
      </c>
      <c r="S123" t="s">
        <v>954</v>
      </c>
      <c r="T123" t="s">
        <v>1077</v>
      </c>
      <c r="U123" t="s">
        <v>1077</v>
      </c>
      <c r="V123" t="s">
        <v>1078</v>
      </c>
      <c r="W123" t="s">
        <v>1079</v>
      </c>
      <c r="Y123" t="s">
        <v>874</v>
      </c>
      <c r="Z123" t="s">
        <v>861</v>
      </c>
      <c r="AA123" t="s">
        <v>958</v>
      </c>
      <c r="AB123" t="s">
        <v>2003</v>
      </c>
      <c r="AF123" t="s">
        <v>1081</v>
      </c>
      <c r="AG123" t="s">
        <v>2004</v>
      </c>
      <c r="AH123" t="s">
        <v>964</v>
      </c>
      <c r="AI123" t="s">
        <v>1083</v>
      </c>
      <c r="AJ123" t="s">
        <v>861</v>
      </c>
      <c r="AK123" t="s">
        <v>880</v>
      </c>
      <c r="AL123" t="s">
        <v>1001</v>
      </c>
      <c r="AM123" t="s">
        <v>967</v>
      </c>
      <c r="AN123" t="s">
        <v>967</v>
      </c>
      <c r="AO123" t="s">
        <v>2005</v>
      </c>
      <c r="AP123" t="s">
        <v>1083</v>
      </c>
      <c r="AQ123" t="s">
        <v>2006</v>
      </c>
      <c r="AR123" t="s">
        <v>2006</v>
      </c>
      <c r="AS123" t="s">
        <v>2006</v>
      </c>
      <c r="AT123" t="s">
        <v>2006</v>
      </c>
      <c r="AU123" t="s">
        <v>886</v>
      </c>
      <c r="AW123" t="s">
        <v>2007</v>
      </c>
      <c r="AX123" t="s">
        <v>1105</v>
      </c>
      <c r="AZ123" t="s">
        <v>999</v>
      </c>
      <c r="BA123" t="s">
        <v>1087</v>
      </c>
      <c r="BB123" t="s">
        <v>2008</v>
      </c>
      <c r="BK123" t="s">
        <v>891</v>
      </c>
      <c r="BL123">
        <v>850</v>
      </c>
      <c r="BM123">
        <v>65.63</v>
      </c>
      <c r="BN123">
        <v>13566</v>
      </c>
      <c r="BO123">
        <v>29256.6</v>
      </c>
      <c r="BP123">
        <v>29256.6</v>
      </c>
      <c r="BQ123">
        <v>29256.6</v>
      </c>
      <c r="BR123">
        <v>0</v>
      </c>
      <c r="BS123" t="s">
        <v>892</v>
      </c>
      <c r="BT123">
        <v>2529</v>
      </c>
      <c r="BV123" t="s">
        <v>1092</v>
      </c>
      <c r="BW123" t="s">
        <v>1093</v>
      </c>
      <c r="BX123" t="s">
        <v>895</v>
      </c>
      <c r="BY123" t="s">
        <v>1998</v>
      </c>
      <c r="CD123" t="s">
        <v>1999</v>
      </c>
      <c r="CG123" t="s">
        <v>2002</v>
      </c>
      <c r="CH123" t="s">
        <v>898</v>
      </c>
      <c r="CI123" t="s">
        <v>2009</v>
      </c>
      <c r="CJ123" t="s">
        <v>2009</v>
      </c>
      <c r="CM123" t="s">
        <v>1044</v>
      </c>
      <c r="CN123" t="s">
        <v>1045</v>
      </c>
      <c r="CO123" t="s">
        <v>2010</v>
      </c>
      <c r="CP123" t="s">
        <v>1029</v>
      </c>
      <c r="CT123" t="s">
        <v>901</v>
      </c>
    </row>
    <row r="124" spans="1:98" x14ac:dyDescent="0.15">
      <c r="A124" t="s">
        <v>861</v>
      </c>
      <c r="B124" t="s">
        <v>862</v>
      </c>
      <c r="C124" t="s">
        <v>174</v>
      </c>
      <c r="D124" t="s">
        <v>174</v>
      </c>
      <c r="E124" t="s">
        <v>174</v>
      </c>
      <c r="F124" t="s">
        <v>863</v>
      </c>
      <c r="G124" t="s">
        <v>1025</v>
      </c>
      <c r="H124" t="s">
        <v>1026</v>
      </c>
      <c r="I124" t="s">
        <v>173</v>
      </c>
      <c r="J124" t="s">
        <v>2011</v>
      </c>
      <c r="K124" t="s">
        <v>867</v>
      </c>
      <c r="L124" t="s">
        <v>868</v>
      </c>
      <c r="N124" t="s">
        <v>1259</v>
      </c>
      <c r="O124">
        <v>0</v>
      </c>
      <c r="P124" t="s">
        <v>869</v>
      </c>
      <c r="Q124" t="s">
        <v>15</v>
      </c>
      <c r="R124" t="s">
        <v>870</v>
      </c>
      <c r="S124" t="s">
        <v>954</v>
      </c>
      <c r="T124" t="s">
        <v>1077</v>
      </c>
      <c r="U124" t="s">
        <v>1077</v>
      </c>
      <c r="V124" t="s">
        <v>1078</v>
      </c>
      <c r="W124" t="s">
        <v>1079</v>
      </c>
      <c r="Y124" t="s">
        <v>874</v>
      </c>
      <c r="Z124" t="s">
        <v>861</v>
      </c>
      <c r="AA124" t="s">
        <v>958</v>
      </c>
      <c r="AB124" t="s">
        <v>2003</v>
      </c>
      <c r="AF124" t="s">
        <v>1081</v>
      </c>
      <c r="AG124" t="s">
        <v>2012</v>
      </c>
      <c r="AH124" t="s">
        <v>964</v>
      </c>
      <c r="AI124" t="s">
        <v>1083</v>
      </c>
      <c r="AJ124" t="s">
        <v>861</v>
      </c>
      <c r="AK124" t="s">
        <v>880</v>
      </c>
      <c r="AL124" t="s">
        <v>1001</v>
      </c>
      <c r="AM124" t="s">
        <v>967</v>
      </c>
      <c r="AN124" t="s">
        <v>967</v>
      </c>
      <c r="AO124" t="s">
        <v>2013</v>
      </c>
      <c r="AP124" t="s">
        <v>1083</v>
      </c>
      <c r="AQ124" t="s">
        <v>2014</v>
      </c>
      <c r="AR124" t="s">
        <v>2014</v>
      </c>
      <c r="AS124" t="s">
        <v>2014</v>
      </c>
      <c r="AT124" t="s">
        <v>2014</v>
      </c>
      <c r="AU124" t="s">
        <v>886</v>
      </c>
      <c r="AW124" t="s">
        <v>2015</v>
      </c>
      <c r="AX124" t="s">
        <v>1225</v>
      </c>
      <c r="AZ124" t="s">
        <v>1088</v>
      </c>
      <c r="BA124" t="s">
        <v>1227</v>
      </c>
      <c r="BB124" t="s">
        <v>2016</v>
      </c>
      <c r="BH124" t="s">
        <v>1778</v>
      </c>
      <c r="BK124" t="s">
        <v>891</v>
      </c>
      <c r="BL124">
        <v>623</v>
      </c>
      <c r="BM124">
        <v>65.06</v>
      </c>
      <c r="BN124">
        <v>15241.2</v>
      </c>
      <c r="BO124">
        <v>26503.599999999999</v>
      </c>
      <c r="BP124">
        <v>26503.599999999999</v>
      </c>
      <c r="BQ124">
        <v>26503.599999999999</v>
      </c>
      <c r="BR124">
        <v>0</v>
      </c>
      <c r="BS124" t="s">
        <v>892</v>
      </c>
      <c r="BT124">
        <v>2529</v>
      </c>
      <c r="BV124" t="s">
        <v>1092</v>
      </c>
      <c r="BW124" t="s">
        <v>1093</v>
      </c>
      <c r="BX124" t="s">
        <v>895</v>
      </c>
      <c r="BY124" t="s">
        <v>1998</v>
      </c>
      <c r="CD124" t="s">
        <v>2017</v>
      </c>
      <c r="CG124" t="s">
        <v>2011</v>
      </c>
      <c r="CH124" t="s">
        <v>898</v>
      </c>
      <c r="CI124" t="s">
        <v>2018</v>
      </c>
      <c r="CJ124" t="s">
        <v>2018</v>
      </c>
      <c r="CM124" t="s">
        <v>1044</v>
      </c>
      <c r="CN124" t="s">
        <v>1045</v>
      </c>
      <c r="CO124" t="s">
        <v>2019</v>
      </c>
      <c r="CP124" t="s">
        <v>1029</v>
      </c>
      <c r="CT124" t="s">
        <v>901</v>
      </c>
    </row>
    <row r="125" spans="1:98" x14ac:dyDescent="0.15">
      <c r="A125" t="s">
        <v>861</v>
      </c>
      <c r="B125" t="s">
        <v>862</v>
      </c>
      <c r="C125" t="s">
        <v>296</v>
      </c>
      <c r="D125" t="s">
        <v>296</v>
      </c>
      <c r="E125" t="s">
        <v>296</v>
      </c>
      <c r="F125" t="s">
        <v>863</v>
      </c>
      <c r="G125" t="s">
        <v>1025</v>
      </c>
      <c r="H125" t="s">
        <v>1026</v>
      </c>
      <c r="I125" t="s">
        <v>295</v>
      </c>
      <c r="J125" t="s">
        <v>2020</v>
      </c>
      <c r="K125" t="s">
        <v>867</v>
      </c>
      <c r="L125" t="s">
        <v>868</v>
      </c>
      <c r="N125" t="s">
        <v>861</v>
      </c>
      <c r="O125">
        <v>0</v>
      </c>
      <c r="P125" t="s">
        <v>869</v>
      </c>
      <c r="Q125" t="s">
        <v>15</v>
      </c>
      <c r="R125" t="s">
        <v>870</v>
      </c>
      <c r="S125" t="s">
        <v>954</v>
      </c>
      <c r="T125" t="s">
        <v>1077</v>
      </c>
      <c r="U125" t="s">
        <v>1077</v>
      </c>
      <c r="V125" t="s">
        <v>1078</v>
      </c>
      <c r="W125" t="s">
        <v>1079</v>
      </c>
      <c r="Y125" t="s">
        <v>874</v>
      </c>
      <c r="Z125" t="s">
        <v>861</v>
      </c>
      <c r="AA125" t="s">
        <v>958</v>
      </c>
      <c r="AB125" t="s">
        <v>2021</v>
      </c>
      <c r="AF125" t="s">
        <v>1081</v>
      </c>
      <c r="AG125" t="s">
        <v>2022</v>
      </c>
      <c r="AH125" t="s">
        <v>964</v>
      </c>
      <c r="AI125" t="s">
        <v>1083</v>
      </c>
      <c r="AJ125" t="s">
        <v>861</v>
      </c>
      <c r="AK125" t="s">
        <v>880</v>
      </c>
      <c r="AL125" t="s">
        <v>1001</v>
      </c>
      <c r="AM125" t="s">
        <v>967</v>
      </c>
      <c r="AN125" t="s">
        <v>967</v>
      </c>
      <c r="AO125" t="s">
        <v>2023</v>
      </c>
      <c r="AP125" t="s">
        <v>1083</v>
      </c>
      <c r="AQ125" t="s">
        <v>1101</v>
      </c>
      <c r="AR125" t="s">
        <v>2024</v>
      </c>
      <c r="AS125" t="s">
        <v>1101</v>
      </c>
      <c r="AT125" t="s">
        <v>1101</v>
      </c>
      <c r="AU125" t="s">
        <v>886</v>
      </c>
      <c r="AW125" t="s">
        <v>1083</v>
      </c>
      <c r="AX125" t="s">
        <v>1225</v>
      </c>
      <c r="AZ125" t="s">
        <v>1226</v>
      </c>
      <c r="BA125" t="s">
        <v>1227</v>
      </c>
      <c r="BB125" t="s">
        <v>2025</v>
      </c>
      <c r="BH125" t="s">
        <v>2026</v>
      </c>
      <c r="BK125" t="s">
        <v>891</v>
      </c>
      <c r="BL125">
        <v>1043</v>
      </c>
      <c r="BM125">
        <v>65.989999999999995</v>
      </c>
      <c r="BN125">
        <v>7564.5</v>
      </c>
      <c r="BO125">
        <v>13783.56</v>
      </c>
      <c r="BP125">
        <v>13783.56</v>
      </c>
      <c r="BQ125">
        <v>13783.56</v>
      </c>
      <c r="BR125">
        <v>0</v>
      </c>
      <c r="BS125" t="s">
        <v>892</v>
      </c>
      <c r="BT125">
        <v>2529</v>
      </c>
      <c r="BV125" t="s">
        <v>1092</v>
      </c>
      <c r="BW125" t="s">
        <v>1093</v>
      </c>
      <c r="BX125" t="s">
        <v>895</v>
      </c>
      <c r="BY125" t="s">
        <v>2027</v>
      </c>
      <c r="CD125" t="s">
        <v>2017</v>
      </c>
      <c r="CG125" t="s">
        <v>2020</v>
      </c>
      <c r="CH125" t="s">
        <v>898</v>
      </c>
      <c r="CI125" t="s">
        <v>2028</v>
      </c>
      <c r="CJ125" t="s">
        <v>2028</v>
      </c>
      <c r="CM125" t="s">
        <v>1044</v>
      </c>
      <c r="CN125" t="s">
        <v>1045</v>
      </c>
      <c r="CO125" t="s">
        <v>2029</v>
      </c>
      <c r="CP125" t="s">
        <v>1029</v>
      </c>
      <c r="CT125" t="s">
        <v>901</v>
      </c>
    </row>
    <row r="126" spans="1:98" x14ac:dyDescent="0.15">
      <c r="A126" t="s">
        <v>861</v>
      </c>
      <c r="B126" t="s">
        <v>862</v>
      </c>
      <c r="C126" t="s">
        <v>407</v>
      </c>
      <c r="D126" t="s">
        <v>407</v>
      </c>
      <c r="E126" t="s">
        <v>407</v>
      </c>
      <c r="F126" t="s">
        <v>863</v>
      </c>
      <c r="G126" t="s">
        <v>1025</v>
      </c>
      <c r="H126" t="s">
        <v>1026</v>
      </c>
      <c r="I126" t="s">
        <v>406</v>
      </c>
      <c r="J126" t="s">
        <v>2030</v>
      </c>
      <c r="K126" t="s">
        <v>867</v>
      </c>
      <c r="L126" t="s">
        <v>868</v>
      </c>
      <c r="N126" t="s">
        <v>1259</v>
      </c>
      <c r="O126">
        <v>0</v>
      </c>
      <c r="P126" t="s">
        <v>869</v>
      </c>
      <c r="Q126" t="s">
        <v>15</v>
      </c>
      <c r="R126" t="s">
        <v>870</v>
      </c>
      <c r="S126" t="s">
        <v>954</v>
      </c>
      <c r="T126" t="s">
        <v>1077</v>
      </c>
      <c r="U126" t="s">
        <v>1077</v>
      </c>
      <c r="V126" t="s">
        <v>1078</v>
      </c>
      <c r="W126" t="s">
        <v>1079</v>
      </c>
      <c r="Y126" t="s">
        <v>874</v>
      </c>
      <c r="Z126" t="s">
        <v>861</v>
      </c>
      <c r="AA126" t="s">
        <v>958</v>
      </c>
      <c r="AB126" t="s">
        <v>2031</v>
      </c>
      <c r="AF126" t="s">
        <v>1081</v>
      </c>
      <c r="AG126" t="s">
        <v>2032</v>
      </c>
      <c r="AH126" t="s">
        <v>964</v>
      </c>
      <c r="AI126" t="s">
        <v>1083</v>
      </c>
      <c r="AJ126" t="s">
        <v>861</v>
      </c>
      <c r="AK126" t="s">
        <v>880</v>
      </c>
      <c r="AL126" t="s">
        <v>1001</v>
      </c>
      <c r="AM126" t="s">
        <v>967</v>
      </c>
      <c r="AN126" t="s">
        <v>967</v>
      </c>
      <c r="AO126" t="s">
        <v>2033</v>
      </c>
      <c r="AP126" t="s">
        <v>1083</v>
      </c>
      <c r="AQ126" t="s">
        <v>1083</v>
      </c>
      <c r="AR126" t="s">
        <v>2034</v>
      </c>
      <c r="AS126" t="s">
        <v>1083</v>
      </c>
      <c r="AT126" t="s">
        <v>1083</v>
      </c>
      <c r="AU126" t="s">
        <v>886</v>
      </c>
      <c r="AW126" t="s">
        <v>1489</v>
      </c>
      <c r="AX126" t="s">
        <v>1337</v>
      </c>
      <c r="AZ126" t="s">
        <v>1226</v>
      </c>
      <c r="BA126" t="s">
        <v>1252</v>
      </c>
      <c r="BB126" t="s">
        <v>2035</v>
      </c>
      <c r="BK126" t="s">
        <v>891</v>
      </c>
      <c r="BL126">
        <v>751</v>
      </c>
      <c r="BM126">
        <v>63.46</v>
      </c>
      <c r="BN126">
        <v>10040.1</v>
      </c>
      <c r="BO126">
        <v>23934.3</v>
      </c>
      <c r="BP126">
        <v>23934.3</v>
      </c>
      <c r="BQ126">
        <v>23934.3</v>
      </c>
      <c r="BR126">
        <v>0</v>
      </c>
      <c r="BS126" t="s">
        <v>892</v>
      </c>
      <c r="BT126">
        <v>2529</v>
      </c>
      <c r="BV126" t="s">
        <v>1092</v>
      </c>
      <c r="BW126" t="s">
        <v>1093</v>
      </c>
      <c r="BX126" t="s">
        <v>895</v>
      </c>
      <c r="BY126" t="s">
        <v>2027</v>
      </c>
      <c r="CD126" t="s">
        <v>2036</v>
      </c>
      <c r="CG126" t="s">
        <v>2030</v>
      </c>
      <c r="CH126" t="s">
        <v>898</v>
      </c>
      <c r="CI126" t="s">
        <v>2037</v>
      </c>
      <c r="CJ126" t="s">
        <v>2037</v>
      </c>
      <c r="CM126" t="s">
        <v>1044</v>
      </c>
      <c r="CN126" t="s">
        <v>1045</v>
      </c>
      <c r="CO126" t="s">
        <v>2038</v>
      </c>
      <c r="CP126" t="s">
        <v>1029</v>
      </c>
      <c r="CT126" t="s">
        <v>901</v>
      </c>
    </row>
    <row r="127" spans="1:98" x14ac:dyDescent="0.15">
      <c r="A127" t="s">
        <v>861</v>
      </c>
      <c r="B127" t="s">
        <v>862</v>
      </c>
      <c r="C127" t="s">
        <v>186</v>
      </c>
      <c r="D127" t="s">
        <v>186</v>
      </c>
      <c r="E127" t="s">
        <v>186</v>
      </c>
      <c r="F127" t="s">
        <v>863</v>
      </c>
      <c r="G127" t="s">
        <v>1025</v>
      </c>
      <c r="H127" t="s">
        <v>1026</v>
      </c>
      <c r="I127" t="s">
        <v>185</v>
      </c>
      <c r="J127" t="s">
        <v>2039</v>
      </c>
      <c r="K127" t="s">
        <v>867</v>
      </c>
      <c r="L127" t="s">
        <v>868</v>
      </c>
      <c r="N127" t="s">
        <v>861</v>
      </c>
      <c r="O127">
        <v>0</v>
      </c>
      <c r="P127" t="s">
        <v>869</v>
      </c>
      <c r="Q127" t="s">
        <v>15</v>
      </c>
      <c r="R127" t="s">
        <v>870</v>
      </c>
      <c r="S127" t="s">
        <v>954</v>
      </c>
      <c r="T127" t="s">
        <v>1077</v>
      </c>
      <c r="U127" t="s">
        <v>1077</v>
      </c>
      <c r="V127" t="s">
        <v>1078</v>
      </c>
      <c r="W127" t="s">
        <v>1079</v>
      </c>
      <c r="Y127" t="s">
        <v>874</v>
      </c>
      <c r="Z127" t="s">
        <v>861</v>
      </c>
      <c r="AA127" t="s">
        <v>958</v>
      </c>
      <c r="AB127" t="s">
        <v>2040</v>
      </c>
      <c r="AF127" t="s">
        <v>1081</v>
      </c>
      <c r="AG127" t="s">
        <v>2041</v>
      </c>
      <c r="AH127" t="s">
        <v>964</v>
      </c>
      <c r="AI127" t="s">
        <v>1101</v>
      </c>
      <c r="AJ127" t="s">
        <v>861</v>
      </c>
      <c r="AK127" t="s">
        <v>880</v>
      </c>
      <c r="AL127" t="s">
        <v>1001</v>
      </c>
      <c r="AM127" t="s">
        <v>967</v>
      </c>
      <c r="AN127" t="s">
        <v>967</v>
      </c>
      <c r="AO127" t="s">
        <v>2042</v>
      </c>
      <c r="AP127" t="s">
        <v>1101</v>
      </c>
      <c r="AQ127" t="s">
        <v>2043</v>
      </c>
      <c r="AR127" t="s">
        <v>2043</v>
      </c>
      <c r="AS127" t="s">
        <v>2043</v>
      </c>
      <c r="AT127" t="s">
        <v>2043</v>
      </c>
      <c r="AU127" t="s">
        <v>886</v>
      </c>
      <c r="AW127" t="s">
        <v>2044</v>
      </c>
      <c r="AX127" t="s">
        <v>2045</v>
      </c>
      <c r="AZ127" t="s">
        <v>1252</v>
      </c>
      <c r="BA127" t="s">
        <v>1105</v>
      </c>
      <c r="BB127" t="s">
        <v>2046</v>
      </c>
      <c r="BH127" t="s">
        <v>1117</v>
      </c>
      <c r="BK127" t="s">
        <v>891</v>
      </c>
      <c r="BL127">
        <v>740</v>
      </c>
      <c r="BM127">
        <v>65.739999999999995</v>
      </c>
      <c r="BN127">
        <v>11118.96</v>
      </c>
      <c r="BO127">
        <v>20442.98</v>
      </c>
      <c r="BP127">
        <v>20442.98</v>
      </c>
      <c r="BQ127">
        <v>20442.98</v>
      </c>
      <c r="BR127">
        <v>0</v>
      </c>
      <c r="BS127" t="s">
        <v>892</v>
      </c>
      <c r="BT127">
        <v>2529</v>
      </c>
      <c r="BV127" t="s">
        <v>1092</v>
      </c>
      <c r="BW127" t="s">
        <v>1093</v>
      </c>
      <c r="BX127" t="s">
        <v>895</v>
      </c>
      <c r="BY127" t="s">
        <v>2027</v>
      </c>
      <c r="CD127" t="s">
        <v>2036</v>
      </c>
      <c r="CG127" t="s">
        <v>2039</v>
      </c>
      <c r="CH127" t="s">
        <v>898</v>
      </c>
      <c r="CI127" t="s">
        <v>2047</v>
      </c>
      <c r="CJ127" t="s">
        <v>2047</v>
      </c>
      <c r="CM127" t="s">
        <v>1044</v>
      </c>
      <c r="CN127" t="s">
        <v>1045</v>
      </c>
      <c r="CO127" t="s">
        <v>2048</v>
      </c>
      <c r="CP127" t="s">
        <v>1029</v>
      </c>
      <c r="CT127" t="s">
        <v>901</v>
      </c>
    </row>
    <row r="128" spans="1:98" x14ac:dyDescent="0.15">
      <c r="A128" t="s">
        <v>861</v>
      </c>
      <c r="B128" t="s">
        <v>862</v>
      </c>
      <c r="C128" t="s">
        <v>441</v>
      </c>
      <c r="D128" t="s">
        <v>441</v>
      </c>
      <c r="E128" t="s">
        <v>441</v>
      </c>
      <c r="F128" t="s">
        <v>863</v>
      </c>
      <c r="G128" t="s">
        <v>1025</v>
      </c>
      <c r="H128" t="s">
        <v>1026</v>
      </c>
      <c r="I128" t="s">
        <v>440</v>
      </c>
      <c r="J128" t="s">
        <v>2049</v>
      </c>
      <c r="K128" t="s">
        <v>867</v>
      </c>
      <c r="L128" t="s">
        <v>868</v>
      </c>
      <c r="N128" t="s">
        <v>861</v>
      </c>
      <c r="O128">
        <v>0</v>
      </c>
      <c r="P128" t="s">
        <v>869</v>
      </c>
      <c r="Q128" t="s">
        <v>15</v>
      </c>
      <c r="R128" t="s">
        <v>870</v>
      </c>
      <c r="S128" t="s">
        <v>954</v>
      </c>
      <c r="T128" t="s">
        <v>1077</v>
      </c>
      <c r="U128" t="s">
        <v>1077</v>
      </c>
      <c r="V128" t="s">
        <v>1078</v>
      </c>
      <c r="W128" t="s">
        <v>1079</v>
      </c>
      <c r="Y128" t="s">
        <v>874</v>
      </c>
      <c r="Z128" t="s">
        <v>861</v>
      </c>
      <c r="AA128" t="s">
        <v>958</v>
      </c>
      <c r="AB128" t="s">
        <v>2050</v>
      </c>
      <c r="AF128" t="s">
        <v>1081</v>
      </c>
      <c r="AG128" t="s">
        <v>2051</v>
      </c>
      <c r="AH128" t="s">
        <v>964</v>
      </c>
      <c r="AI128" t="s">
        <v>1083</v>
      </c>
      <c r="AJ128" t="s">
        <v>861</v>
      </c>
      <c r="AK128" t="s">
        <v>880</v>
      </c>
      <c r="AL128" t="s">
        <v>966</v>
      </c>
      <c r="AM128" t="s">
        <v>967</v>
      </c>
      <c r="AN128" t="s">
        <v>967</v>
      </c>
      <c r="AO128" t="s">
        <v>2052</v>
      </c>
      <c r="AP128" t="s">
        <v>1083</v>
      </c>
      <c r="AQ128" t="s">
        <v>1083</v>
      </c>
      <c r="AR128" t="s">
        <v>2053</v>
      </c>
      <c r="AS128" t="s">
        <v>1083</v>
      </c>
      <c r="AT128" t="s">
        <v>1083</v>
      </c>
      <c r="AU128" t="s">
        <v>886</v>
      </c>
      <c r="AW128" t="s">
        <v>1489</v>
      </c>
      <c r="AX128" t="s">
        <v>1337</v>
      </c>
      <c r="AZ128" t="s">
        <v>1226</v>
      </c>
      <c r="BA128" t="s">
        <v>1252</v>
      </c>
      <c r="BB128" t="s">
        <v>2054</v>
      </c>
      <c r="BH128" t="s">
        <v>1988</v>
      </c>
      <c r="BK128" t="s">
        <v>891</v>
      </c>
      <c r="BL128">
        <v>833</v>
      </c>
      <c r="BM128">
        <v>64.55</v>
      </c>
      <c r="BN128">
        <v>9679.2000000000007</v>
      </c>
      <c r="BO128">
        <v>25896.7</v>
      </c>
      <c r="BP128">
        <v>25896.7</v>
      </c>
      <c r="BQ128">
        <v>25896.7</v>
      </c>
      <c r="BR128">
        <v>0</v>
      </c>
      <c r="BS128" t="s">
        <v>892</v>
      </c>
      <c r="BT128">
        <v>2529</v>
      </c>
      <c r="BV128" t="s">
        <v>1092</v>
      </c>
      <c r="BW128" t="s">
        <v>1093</v>
      </c>
      <c r="BX128" t="s">
        <v>895</v>
      </c>
      <c r="BY128" t="s">
        <v>2055</v>
      </c>
      <c r="CD128" t="s">
        <v>2056</v>
      </c>
      <c r="CG128" t="s">
        <v>2049</v>
      </c>
      <c r="CH128" t="s">
        <v>898</v>
      </c>
      <c r="CI128" t="s">
        <v>2057</v>
      </c>
      <c r="CJ128" t="s">
        <v>2057</v>
      </c>
      <c r="CM128" t="s">
        <v>1044</v>
      </c>
      <c r="CN128" t="s">
        <v>1045</v>
      </c>
      <c r="CO128" t="s">
        <v>2058</v>
      </c>
      <c r="CP128" t="s">
        <v>1029</v>
      </c>
      <c r="CT128" t="s">
        <v>901</v>
      </c>
    </row>
    <row r="129" spans="1:98" x14ac:dyDescent="0.15">
      <c r="A129" t="s">
        <v>861</v>
      </c>
      <c r="B129" t="s">
        <v>862</v>
      </c>
      <c r="C129" t="s">
        <v>188</v>
      </c>
      <c r="D129" t="s">
        <v>188</v>
      </c>
      <c r="E129" t="s">
        <v>188</v>
      </c>
      <c r="F129" t="s">
        <v>863</v>
      </c>
      <c r="G129" t="s">
        <v>1025</v>
      </c>
      <c r="H129" t="s">
        <v>1026</v>
      </c>
      <c r="I129" t="s">
        <v>187</v>
      </c>
      <c r="J129" t="s">
        <v>2059</v>
      </c>
      <c r="K129" t="s">
        <v>867</v>
      </c>
      <c r="L129" t="s">
        <v>868</v>
      </c>
      <c r="N129" t="s">
        <v>861</v>
      </c>
      <c r="O129">
        <v>0</v>
      </c>
      <c r="P129" t="s">
        <v>869</v>
      </c>
      <c r="Q129" t="s">
        <v>15</v>
      </c>
      <c r="R129" t="s">
        <v>870</v>
      </c>
      <c r="S129" t="s">
        <v>954</v>
      </c>
      <c r="T129" t="s">
        <v>1077</v>
      </c>
      <c r="U129" t="s">
        <v>1077</v>
      </c>
      <c r="V129" t="s">
        <v>1078</v>
      </c>
      <c r="W129" t="s">
        <v>1079</v>
      </c>
      <c r="Y129" t="s">
        <v>874</v>
      </c>
      <c r="Z129" t="s">
        <v>861</v>
      </c>
      <c r="AA129" t="s">
        <v>875</v>
      </c>
      <c r="AF129" t="s">
        <v>1081</v>
      </c>
      <c r="AG129" t="s">
        <v>2060</v>
      </c>
      <c r="AH129" t="s">
        <v>964</v>
      </c>
      <c r="AI129" t="s">
        <v>1083</v>
      </c>
      <c r="AJ129" t="s">
        <v>861</v>
      </c>
      <c r="AK129" t="s">
        <v>880</v>
      </c>
      <c r="AL129" t="s">
        <v>966</v>
      </c>
      <c r="AM129" t="s">
        <v>967</v>
      </c>
      <c r="AN129" t="s">
        <v>967</v>
      </c>
      <c r="AO129" t="s">
        <v>2061</v>
      </c>
      <c r="AP129" t="s">
        <v>1083</v>
      </c>
      <c r="AQ129" t="s">
        <v>2045</v>
      </c>
      <c r="AR129" t="s">
        <v>2045</v>
      </c>
      <c r="AS129" t="s">
        <v>2045</v>
      </c>
      <c r="AT129" t="s">
        <v>2045</v>
      </c>
      <c r="AU129" t="s">
        <v>886</v>
      </c>
      <c r="AW129" t="s">
        <v>1105</v>
      </c>
      <c r="AX129" t="s">
        <v>1087</v>
      </c>
      <c r="AZ129" t="s">
        <v>1088</v>
      </c>
      <c r="BA129" t="s">
        <v>1089</v>
      </c>
      <c r="BB129" t="s">
        <v>2062</v>
      </c>
      <c r="BK129" t="s">
        <v>891</v>
      </c>
      <c r="BL129">
        <v>1243</v>
      </c>
      <c r="BM129">
        <v>66.75</v>
      </c>
      <c r="BN129">
        <v>10848.5</v>
      </c>
      <c r="BO129">
        <v>23102.86</v>
      </c>
      <c r="BP129">
        <v>23102.86</v>
      </c>
      <c r="BQ129">
        <v>23102.86</v>
      </c>
      <c r="BR129">
        <v>0</v>
      </c>
      <c r="BS129" t="s">
        <v>892</v>
      </c>
      <c r="BT129">
        <v>2529</v>
      </c>
      <c r="BV129" t="s">
        <v>1092</v>
      </c>
      <c r="BW129" t="s">
        <v>1093</v>
      </c>
      <c r="BX129" t="s">
        <v>895</v>
      </c>
      <c r="BY129" t="s">
        <v>2063</v>
      </c>
      <c r="CD129" t="s">
        <v>2064</v>
      </c>
      <c r="CG129" t="s">
        <v>2059</v>
      </c>
      <c r="CH129" t="s">
        <v>898</v>
      </c>
      <c r="CI129" t="s">
        <v>2065</v>
      </c>
      <c r="CJ129" t="s">
        <v>2065</v>
      </c>
      <c r="CM129" t="s">
        <v>1044</v>
      </c>
      <c r="CN129" t="s">
        <v>1045</v>
      </c>
      <c r="CO129" t="s">
        <v>2066</v>
      </c>
      <c r="CP129" t="s">
        <v>1029</v>
      </c>
      <c r="CT129" t="s">
        <v>901</v>
      </c>
    </row>
    <row r="130" spans="1:98" x14ac:dyDescent="0.15">
      <c r="A130" t="s">
        <v>861</v>
      </c>
      <c r="B130" t="s">
        <v>862</v>
      </c>
      <c r="C130" t="s">
        <v>463</v>
      </c>
      <c r="D130" t="s">
        <v>463</v>
      </c>
      <c r="E130" t="s">
        <v>463</v>
      </c>
      <c r="F130" t="s">
        <v>863</v>
      </c>
      <c r="G130" t="s">
        <v>1025</v>
      </c>
      <c r="H130" t="s">
        <v>1026</v>
      </c>
      <c r="I130" t="s">
        <v>462</v>
      </c>
      <c r="J130" t="s">
        <v>2067</v>
      </c>
      <c r="K130" t="s">
        <v>867</v>
      </c>
      <c r="L130" t="s">
        <v>868</v>
      </c>
      <c r="N130" t="s">
        <v>861</v>
      </c>
      <c r="O130">
        <v>0</v>
      </c>
      <c r="P130" t="s">
        <v>869</v>
      </c>
      <c r="Q130" t="s">
        <v>15</v>
      </c>
      <c r="R130" t="s">
        <v>870</v>
      </c>
      <c r="S130" t="s">
        <v>954</v>
      </c>
      <c r="T130" t="s">
        <v>1077</v>
      </c>
      <c r="U130" t="s">
        <v>1077</v>
      </c>
      <c r="V130" t="s">
        <v>1078</v>
      </c>
      <c r="W130" t="s">
        <v>1079</v>
      </c>
      <c r="Y130" t="s">
        <v>874</v>
      </c>
      <c r="Z130" t="s">
        <v>861</v>
      </c>
      <c r="AA130" t="s">
        <v>958</v>
      </c>
      <c r="AB130" t="s">
        <v>2068</v>
      </c>
      <c r="AF130" t="s">
        <v>1081</v>
      </c>
      <c r="AG130" t="s">
        <v>2069</v>
      </c>
      <c r="AH130" t="s">
        <v>964</v>
      </c>
      <c r="AI130" t="s">
        <v>1101</v>
      </c>
      <c r="AJ130" t="s">
        <v>861</v>
      </c>
      <c r="AK130" t="s">
        <v>880</v>
      </c>
      <c r="AL130" t="s">
        <v>966</v>
      </c>
      <c r="AM130" t="s">
        <v>967</v>
      </c>
      <c r="AN130" t="s">
        <v>967</v>
      </c>
      <c r="AO130" t="s">
        <v>2070</v>
      </c>
      <c r="AP130" t="s">
        <v>1101</v>
      </c>
      <c r="AQ130" t="s">
        <v>2071</v>
      </c>
      <c r="AR130" t="s">
        <v>2071</v>
      </c>
      <c r="AS130" t="s">
        <v>2071</v>
      </c>
      <c r="AT130" t="s">
        <v>2071</v>
      </c>
      <c r="AU130" t="s">
        <v>886</v>
      </c>
      <c r="AW130" t="s">
        <v>2072</v>
      </c>
      <c r="AX130" t="s">
        <v>1105</v>
      </c>
      <c r="AZ130" t="s">
        <v>999</v>
      </c>
      <c r="BA130" t="s">
        <v>1087</v>
      </c>
      <c r="BB130" t="s">
        <v>2073</v>
      </c>
      <c r="BH130" t="s">
        <v>2074</v>
      </c>
      <c r="BK130" t="s">
        <v>891</v>
      </c>
      <c r="BL130">
        <v>623</v>
      </c>
      <c r="BM130">
        <v>66.17</v>
      </c>
      <c r="BN130">
        <v>6674.45</v>
      </c>
      <c r="BO130">
        <v>19467.87</v>
      </c>
      <c r="BP130">
        <v>19467.87</v>
      </c>
      <c r="BQ130">
        <v>19467.87</v>
      </c>
      <c r="BR130">
        <v>0</v>
      </c>
      <c r="BS130" t="s">
        <v>892</v>
      </c>
      <c r="BT130">
        <v>2529</v>
      </c>
      <c r="BV130" t="s">
        <v>1092</v>
      </c>
      <c r="BW130" t="s">
        <v>1093</v>
      </c>
      <c r="BX130" t="s">
        <v>895</v>
      </c>
      <c r="BY130" t="s">
        <v>2063</v>
      </c>
      <c r="CD130" t="s">
        <v>2064</v>
      </c>
      <c r="CG130" t="s">
        <v>2067</v>
      </c>
      <c r="CH130" t="s">
        <v>898</v>
      </c>
      <c r="CI130" t="s">
        <v>2075</v>
      </c>
      <c r="CJ130" t="s">
        <v>2075</v>
      </c>
      <c r="CM130" t="s">
        <v>1044</v>
      </c>
      <c r="CN130" t="s">
        <v>1045</v>
      </c>
      <c r="CO130" t="s">
        <v>2076</v>
      </c>
      <c r="CP130" t="s">
        <v>1029</v>
      </c>
      <c r="CT130" t="s">
        <v>901</v>
      </c>
    </row>
    <row r="131" spans="1:98" x14ac:dyDescent="0.15">
      <c r="A131" t="s">
        <v>861</v>
      </c>
      <c r="B131" t="s">
        <v>862</v>
      </c>
      <c r="C131" t="s">
        <v>180</v>
      </c>
      <c r="D131" t="s">
        <v>180</v>
      </c>
      <c r="E131" t="s">
        <v>180</v>
      </c>
      <c r="F131" t="s">
        <v>863</v>
      </c>
      <c r="G131" t="s">
        <v>1025</v>
      </c>
      <c r="H131" t="s">
        <v>1026</v>
      </c>
      <c r="I131" t="s">
        <v>179</v>
      </c>
      <c r="J131" t="s">
        <v>2077</v>
      </c>
      <c r="K131" t="s">
        <v>867</v>
      </c>
      <c r="L131" t="s">
        <v>868</v>
      </c>
      <c r="N131" t="s">
        <v>861</v>
      </c>
      <c r="O131">
        <v>0</v>
      </c>
      <c r="P131" t="s">
        <v>869</v>
      </c>
      <c r="Q131" t="s">
        <v>15</v>
      </c>
      <c r="R131" t="s">
        <v>870</v>
      </c>
      <c r="S131" t="s">
        <v>954</v>
      </c>
      <c r="T131" t="s">
        <v>1793</v>
      </c>
      <c r="U131" t="s">
        <v>1793</v>
      </c>
      <c r="V131" t="s">
        <v>1441</v>
      </c>
      <c r="W131" t="s">
        <v>1261</v>
      </c>
      <c r="Y131" t="s">
        <v>874</v>
      </c>
      <c r="Z131" t="s">
        <v>861</v>
      </c>
      <c r="AA131" t="s">
        <v>875</v>
      </c>
      <c r="AF131" t="s">
        <v>1795</v>
      </c>
      <c r="AG131" t="s">
        <v>2078</v>
      </c>
      <c r="AH131" t="s">
        <v>964</v>
      </c>
      <c r="AI131" t="s">
        <v>1264</v>
      </c>
      <c r="AJ131" t="s">
        <v>861</v>
      </c>
      <c r="AK131" t="s">
        <v>880</v>
      </c>
      <c r="AL131" t="s">
        <v>966</v>
      </c>
      <c r="AM131" t="s">
        <v>967</v>
      </c>
      <c r="AN131" t="s">
        <v>967</v>
      </c>
      <c r="AO131" t="s">
        <v>2079</v>
      </c>
      <c r="AP131" t="s">
        <v>1264</v>
      </c>
      <c r="AQ131" t="s">
        <v>1088</v>
      </c>
      <c r="AR131" t="s">
        <v>2080</v>
      </c>
      <c r="AS131" t="s">
        <v>1088</v>
      </c>
      <c r="AT131" t="s">
        <v>1088</v>
      </c>
      <c r="AU131" t="s">
        <v>886</v>
      </c>
      <c r="AW131" t="s">
        <v>1226</v>
      </c>
      <c r="AX131" t="s">
        <v>1002</v>
      </c>
      <c r="AZ131" t="s">
        <v>1526</v>
      </c>
      <c r="BA131" t="s">
        <v>883</v>
      </c>
      <c r="BB131" t="s">
        <v>2081</v>
      </c>
      <c r="BH131" t="s">
        <v>1506</v>
      </c>
      <c r="BK131" t="s">
        <v>891</v>
      </c>
      <c r="BL131">
        <v>997</v>
      </c>
      <c r="BM131">
        <v>63.18</v>
      </c>
      <c r="BN131">
        <v>14374.64</v>
      </c>
      <c r="BO131">
        <v>35940.11</v>
      </c>
      <c r="BP131">
        <v>35940.11</v>
      </c>
      <c r="BQ131">
        <v>35940.11</v>
      </c>
      <c r="BR131">
        <v>0</v>
      </c>
      <c r="BS131" t="s">
        <v>892</v>
      </c>
      <c r="BT131">
        <v>2639</v>
      </c>
      <c r="BV131" t="s">
        <v>1800</v>
      </c>
      <c r="BW131" t="s">
        <v>1154</v>
      </c>
      <c r="BX131" t="s">
        <v>895</v>
      </c>
      <c r="BY131" t="s">
        <v>1817</v>
      </c>
      <c r="CD131" t="s">
        <v>1818</v>
      </c>
      <c r="CG131" t="s">
        <v>2077</v>
      </c>
      <c r="CH131" t="s">
        <v>898</v>
      </c>
      <c r="CI131" t="s">
        <v>2082</v>
      </c>
      <c r="CJ131" t="s">
        <v>2082</v>
      </c>
      <c r="CM131" t="s">
        <v>1044</v>
      </c>
      <c r="CN131" t="s">
        <v>1045</v>
      </c>
      <c r="CO131" t="s">
        <v>2083</v>
      </c>
      <c r="CP131" t="s">
        <v>873</v>
      </c>
      <c r="CT131" t="s">
        <v>901</v>
      </c>
    </row>
    <row r="132" spans="1:98" x14ac:dyDescent="0.15">
      <c r="A132" t="s">
        <v>861</v>
      </c>
      <c r="B132" t="s">
        <v>862</v>
      </c>
      <c r="C132" t="s">
        <v>260</v>
      </c>
      <c r="D132" t="s">
        <v>260</v>
      </c>
      <c r="E132" t="s">
        <v>260</v>
      </c>
      <c r="F132" t="s">
        <v>863</v>
      </c>
      <c r="G132" t="s">
        <v>1025</v>
      </c>
      <c r="H132" t="s">
        <v>1026</v>
      </c>
      <c r="I132" t="s">
        <v>259</v>
      </c>
      <c r="J132" t="s">
        <v>2084</v>
      </c>
      <c r="K132" t="s">
        <v>867</v>
      </c>
      <c r="L132" t="s">
        <v>868</v>
      </c>
      <c r="N132" t="s">
        <v>861</v>
      </c>
      <c r="O132">
        <v>0</v>
      </c>
      <c r="P132" t="s">
        <v>869</v>
      </c>
      <c r="Q132" t="s">
        <v>15</v>
      </c>
      <c r="R132" t="s">
        <v>870</v>
      </c>
      <c r="S132" t="s">
        <v>954</v>
      </c>
      <c r="T132" t="s">
        <v>1793</v>
      </c>
      <c r="U132" t="s">
        <v>1793</v>
      </c>
      <c r="V132" t="s">
        <v>1441</v>
      </c>
      <c r="W132" t="s">
        <v>1261</v>
      </c>
      <c r="Y132" t="s">
        <v>874</v>
      </c>
      <c r="Z132" t="s">
        <v>861</v>
      </c>
      <c r="AA132" t="s">
        <v>875</v>
      </c>
      <c r="AF132" t="s">
        <v>1795</v>
      </c>
      <c r="AG132" t="s">
        <v>2085</v>
      </c>
      <c r="AH132" t="s">
        <v>964</v>
      </c>
      <c r="AI132" t="s">
        <v>1264</v>
      </c>
      <c r="AJ132" t="s">
        <v>861</v>
      </c>
      <c r="AK132" t="s">
        <v>880</v>
      </c>
      <c r="AL132" t="s">
        <v>966</v>
      </c>
      <c r="AM132" t="s">
        <v>967</v>
      </c>
      <c r="AN132" t="s">
        <v>967</v>
      </c>
      <c r="AO132" t="s">
        <v>2086</v>
      </c>
      <c r="AP132" t="s">
        <v>1264</v>
      </c>
      <c r="AQ132" t="s">
        <v>1088</v>
      </c>
      <c r="AR132" t="s">
        <v>2087</v>
      </c>
      <c r="AS132" t="s">
        <v>1088</v>
      </c>
      <c r="AT132" t="s">
        <v>1088</v>
      </c>
      <c r="AU132" t="s">
        <v>886</v>
      </c>
      <c r="AW132" t="s">
        <v>1226</v>
      </c>
      <c r="AX132" t="s">
        <v>1002</v>
      </c>
      <c r="AZ132" t="s">
        <v>1526</v>
      </c>
      <c r="BA132" t="s">
        <v>883</v>
      </c>
      <c r="BB132" t="s">
        <v>2088</v>
      </c>
      <c r="BH132" t="s">
        <v>2089</v>
      </c>
      <c r="BK132" t="s">
        <v>891</v>
      </c>
      <c r="BL132">
        <v>785</v>
      </c>
      <c r="BM132">
        <v>65.64</v>
      </c>
      <c r="BN132">
        <v>13970.5</v>
      </c>
      <c r="BO132">
        <v>31649.25</v>
      </c>
      <c r="BP132">
        <v>31649.25</v>
      </c>
      <c r="BQ132">
        <v>31649.25</v>
      </c>
      <c r="BR132">
        <v>0</v>
      </c>
      <c r="BS132" t="s">
        <v>892</v>
      </c>
      <c r="BT132">
        <v>2639</v>
      </c>
      <c r="BV132" t="s">
        <v>1800</v>
      </c>
      <c r="BW132" t="s">
        <v>1154</v>
      </c>
      <c r="BX132" t="s">
        <v>895</v>
      </c>
      <c r="BY132" t="s">
        <v>1817</v>
      </c>
      <c r="CD132" t="s">
        <v>2090</v>
      </c>
      <c r="CG132" t="s">
        <v>2084</v>
      </c>
      <c r="CH132" t="s">
        <v>898</v>
      </c>
      <c r="CI132" t="s">
        <v>2091</v>
      </c>
      <c r="CJ132" t="s">
        <v>2091</v>
      </c>
      <c r="CM132" t="s">
        <v>1044</v>
      </c>
      <c r="CN132" t="s">
        <v>1045</v>
      </c>
      <c r="CO132" t="s">
        <v>2092</v>
      </c>
      <c r="CP132" t="s">
        <v>873</v>
      </c>
      <c r="CT132" t="s">
        <v>901</v>
      </c>
    </row>
    <row r="133" spans="1:98" x14ac:dyDescent="0.15">
      <c r="A133" t="s">
        <v>861</v>
      </c>
      <c r="B133" t="s">
        <v>862</v>
      </c>
      <c r="C133" t="s">
        <v>423</v>
      </c>
      <c r="D133" t="s">
        <v>423</v>
      </c>
      <c r="E133" t="s">
        <v>423</v>
      </c>
      <c r="F133" t="s">
        <v>863</v>
      </c>
      <c r="G133" t="s">
        <v>1025</v>
      </c>
      <c r="H133" t="s">
        <v>865</v>
      </c>
      <c r="I133" t="s">
        <v>422</v>
      </c>
      <c r="J133" t="s">
        <v>2093</v>
      </c>
      <c r="K133" t="s">
        <v>867</v>
      </c>
      <c r="L133" t="s">
        <v>868</v>
      </c>
      <c r="N133" t="s">
        <v>861</v>
      </c>
      <c r="O133">
        <v>0</v>
      </c>
      <c r="P133" t="s">
        <v>869</v>
      </c>
      <c r="Q133" t="s">
        <v>15</v>
      </c>
      <c r="R133" t="s">
        <v>870</v>
      </c>
      <c r="S133" t="s">
        <v>954</v>
      </c>
      <c r="T133" t="s">
        <v>1793</v>
      </c>
      <c r="U133" t="s">
        <v>1793</v>
      </c>
      <c r="V133" t="s">
        <v>1441</v>
      </c>
      <c r="W133" t="s">
        <v>1261</v>
      </c>
      <c r="Y133" t="s">
        <v>874</v>
      </c>
      <c r="Z133" t="s">
        <v>861</v>
      </c>
      <c r="AA133" t="s">
        <v>875</v>
      </c>
      <c r="AF133" t="s">
        <v>1795</v>
      </c>
      <c r="AG133" t="s">
        <v>2094</v>
      </c>
      <c r="AH133" t="s">
        <v>964</v>
      </c>
      <c r="AI133" t="s">
        <v>1264</v>
      </c>
      <c r="AJ133" t="s">
        <v>861</v>
      </c>
      <c r="AK133" t="s">
        <v>880</v>
      </c>
      <c r="AL133" t="s">
        <v>966</v>
      </c>
      <c r="AM133" t="s">
        <v>967</v>
      </c>
      <c r="AP133" t="s">
        <v>1264</v>
      </c>
      <c r="AQ133" t="s">
        <v>1088</v>
      </c>
      <c r="AR133" t="s">
        <v>2095</v>
      </c>
      <c r="AS133" t="s">
        <v>1088</v>
      </c>
      <c r="AT133" t="s">
        <v>1088</v>
      </c>
      <c r="AU133" t="s">
        <v>886</v>
      </c>
      <c r="AW133" t="s">
        <v>1226</v>
      </c>
      <c r="AX133" t="s">
        <v>883</v>
      </c>
      <c r="AZ133" t="s">
        <v>968</v>
      </c>
      <c r="BA133" t="s">
        <v>1004</v>
      </c>
      <c r="BK133" t="s">
        <v>891</v>
      </c>
      <c r="BL133">
        <v>1902</v>
      </c>
      <c r="BM133">
        <v>67.5</v>
      </c>
      <c r="BN133">
        <v>11311.5</v>
      </c>
      <c r="BO133">
        <v>28340.080000000002</v>
      </c>
      <c r="BP133">
        <v>28340.080000000002</v>
      </c>
      <c r="BQ133">
        <v>28340.080000000002</v>
      </c>
      <c r="BR133">
        <v>0</v>
      </c>
      <c r="BS133" t="s">
        <v>892</v>
      </c>
      <c r="BT133">
        <v>2639</v>
      </c>
      <c r="BV133" t="s">
        <v>1800</v>
      </c>
      <c r="BW133" t="s">
        <v>1154</v>
      </c>
      <c r="BX133" t="s">
        <v>895</v>
      </c>
      <c r="BY133" t="s">
        <v>1801</v>
      </c>
      <c r="CD133" t="s">
        <v>1802</v>
      </c>
      <c r="CG133" t="s">
        <v>2093</v>
      </c>
      <c r="CH133" t="s">
        <v>898</v>
      </c>
      <c r="CI133" t="s">
        <v>2096</v>
      </c>
      <c r="CJ133" t="s">
        <v>2096</v>
      </c>
      <c r="CP133" t="s">
        <v>873</v>
      </c>
      <c r="CT133" t="s">
        <v>901</v>
      </c>
    </row>
    <row r="134" spans="1:98" x14ac:dyDescent="0.15">
      <c r="A134" t="s">
        <v>861</v>
      </c>
      <c r="B134" t="s">
        <v>862</v>
      </c>
      <c r="C134" t="s">
        <v>136</v>
      </c>
      <c r="D134" t="s">
        <v>136</v>
      </c>
      <c r="E134" t="s">
        <v>136</v>
      </c>
      <c r="F134" t="s">
        <v>863</v>
      </c>
      <c r="G134" t="s">
        <v>1025</v>
      </c>
      <c r="H134" t="s">
        <v>865</v>
      </c>
      <c r="I134" t="s">
        <v>134</v>
      </c>
      <c r="J134" t="s">
        <v>2097</v>
      </c>
      <c r="K134" t="s">
        <v>867</v>
      </c>
      <c r="L134" t="s">
        <v>868</v>
      </c>
      <c r="N134" t="s">
        <v>861</v>
      </c>
      <c r="O134">
        <v>0</v>
      </c>
      <c r="P134" t="s">
        <v>869</v>
      </c>
      <c r="Q134" t="s">
        <v>15</v>
      </c>
      <c r="R134" t="s">
        <v>870</v>
      </c>
      <c r="S134" t="s">
        <v>954</v>
      </c>
      <c r="T134" t="s">
        <v>1793</v>
      </c>
      <c r="U134" t="s">
        <v>1793</v>
      </c>
      <c r="V134" t="s">
        <v>1441</v>
      </c>
      <c r="W134" t="s">
        <v>1261</v>
      </c>
      <c r="Y134" t="s">
        <v>874</v>
      </c>
      <c r="Z134" t="s">
        <v>861</v>
      </c>
      <c r="AA134" t="s">
        <v>875</v>
      </c>
      <c r="AF134" t="s">
        <v>1795</v>
      </c>
      <c r="AG134" t="s">
        <v>2098</v>
      </c>
      <c r="AH134" t="s">
        <v>964</v>
      </c>
      <c r="AI134" t="s">
        <v>957</v>
      </c>
      <c r="AJ134" t="s">
        <v>861</v>
      </c>
      <c r="AK134" t="s">
        <v>880</v>
      </c>
      <c r="AL134" t="s">
        <v>1001</v>
      </c>
      <c r="AM134" t="s">
        <v>967</v>
      </c>
      <c r="AP134" t="s">
        <v>957</v>
      </c>
      <c r="AQ134" t="s">
        <v>1088</v>
      </c>
      <c r="AR134" t="s">
        <v>2099</v>
      </c>
      <c r="AS134" t="s">
        <v>1088</v>
      </c>
      <c r="AT134" t="s">
        <v>1088</v>
      </c>
      <c r="AU134" t="s">
        <v>886</v>
      </c>
      <c r="AW134" t="s">
        <v>1226</v>
      </c>
      <c r="AX134" t="s">
        <v>957</v>
      </c>
      <c r="AZ134" t="s">
        <v>942</v>
      </c>
      <c r="BA134" t="s">
        <v>1267</v>
      </c>
      <c r="BK134" t="s">
        <v>891</v>
      </c>
      <c r="BL134">
        <v>1528</v>
      </c>
      <c r="BM134">
        <v>66.510000000000005</v>
      </c>
      <c r="BN134">
        <v>14572.6</v>
      </c>
      <c r="BO134">
        <v>29165.31</v>
      </c>
      <c r="BP134">
        <v>29165.31</v>
      </c>
      <c r="BQ134">
        <v>29165.31</v>
      </c>
      <c r="BR134">
        <v>0</v>
      </c>
      <c r="BS134" t="s">
        <v>892</v>
      </c>
      <c r="BT134">
        <v>2639</v>
      </c>
      <c r="BV134" t="s">
        <v>1800</v>
      </c>
      <c r="BW134" t="s">
        <v>1154</v>
      </c>
      <c r="BX134" t="s">
        <v>895</v>
      </c>
      <c r="BY134" t="s">
        <v>2100</v>
      </c>
      <c r="CD134" t="s">
        <v>2101</v>
      </c>
      <c r="CG134" t="s">
        <v>2097</v>
      </c>
      <c r="CH134" t="s">
        <v>898</v>
      </c>
      <c r="CI134" t="s">
        <v>2102</v>
      </c>
      <c r="CJ134" t="s">
        <v>2102</v>
      </c>
      <c r="CP134" t="s">
        <v>873</v>
      </c>
      <c r="CT134" t="s">
        <v>901</v>
      </c>
    </row>
    <row r="135" spans="1:98" x14ac:dyDescent="0.15">
      <c r="A135" t="s">
        <v>861</v>
      </c>
      <c r="B135" t="s">
        <v>862</v>
      </c>
      <c r="C135" t="s">
        <v>409</v>
      </c>
      <c r="D135" t="s">
        <v>409</v>
      </c>
      <c r="E135" t="s">
        <v>409</v>
      </c>
      <c r="F135" t="s">
        <v>863</v>
      </c>
      <c r="G135" t="s">
        <v>1025</v>
      </c>
      <c r="H135" t="s">
        <v>1026</v>
      </c>
      <c r="I135" t="s">
        <v>408</v>
      </c>
      <c r="J135" t="s">
        <v>2103</v>
      </c>
      <c r="K135" t="s">
        <v>867</v>
      </c>
      <c r="L135" t="s">
        <v>868</v>
      </c>
      <c r="N135" t="s">
        <v>861</v>
      </c>
      <c r="O135">
        <v>0</v>
      </c>
      <c r="P135" t="s">
        <v>869</v>
      </c>
      <c r="Q135" t="s">
        <v>15</v>
      </c>
      <c r="R135" t="s">
        <v>870</v>
      </c>
      <c r="S135" t="s">
        <v>954</v>
      </c>
      <c r="T135" t="s">
        <v>1793</v>
      </c>
      <c r="U135" t="s">
        <v>1793</v>
      </c>
      <c r="V135" t="s">
        <v>1441</v>
      </c>
      <c r="W135" t="s">
        <v>1261</v>
      </c>
      <c r="Y135" t="s">
        <v>874</v>
      </c>
      <c r="Z135" t="s">
        <v>861</v>
      </c>
      <c r="AA135" t="s">
        <v>875</v>
      </c>
      <c r="AF135" t="s">
        <v>1795</v>
      </c>
      <c r="AG135" t="s">
        <v>2104</v>
      </c>
      <c r="AH135" t="s">
        <v>964</v>
      </c>
      <c r="AI135" t="s">
        <v>1264</v>
      </c>
      <c r="AJ135" t="s">
        <v>861</v>
      </c>
      <c r="AK135" t="s">
        <v>880</v>
      </c>
      <c r="AL135" t="s">
        <v>1001</v>
      </c>
      <c r="AM135" t="s">
        <v>967</v>
      </c>
      <c r="AN135" t="s">
        <v>967</v>
      </c>
      <c r="AP135" t="s">
        <v>1264</v>
      </c>
      <c r="AQ135" t="s">
        <v>1088</v>
      </c>
      <c r="AR135" t="s">
        <v>2105</v>
      </c>
      <c r="AS135" t="s">
        <v>1088</v>
      </c>
      <c r="AT135" t="s">
        <v>1088</v>
      </c>
      <c r="AU135" t="s">
        <v>886</v>
      </c>
      <c r="AW135" t="s">
        <v>1226</v>
      </c>
      <c r="AX135" t="s">
        <v>957</v>
      </c>
      <c r="AZ135" t="s">
        <v>1526</v>
      </c>
      <c r="BA135" t="s">
        <v>1267</v>
      </c>
      <c r="BB135" t="s">
        <v>2106</v>
      </c>
      <c r="BK135" t="s">
        <v>891</v>
      </c>
      <c r="BL135">
        <v>780</v>
      </c>
      <c r="BM135">
        <v>64.36</v>
      </c>
      <c r="BN135">
        <v>9281</v>
      </c>
      <c r="BO135">
        <v>22194.7</v>
      </c>
      <c r="BP135">
        <v>22194.7</v>
      </c>
      <c r="BQ135">
        <v>22194.7</v>
      </c>
      <c r="BR135">
        <v>0</v>
      </c>
      <c r="BS135" t="s">
        <v>892</v>
      </c>
      <c r="BT135">
        <v>2639</v>
      </c>
      <c r="BV135" t="s">
        <v>1800</v>
      </c>
      <c r="BW135" t="s">
        <v>1154</v>
      </c>
      <c r="BX135" t="s">
        <v>895</v>
      </c>
      <c r="BY135" t="s">
        <v>1827</v>
      </c>
      <c r="CD135" t="s">
        <v>1828</v>
      </c>
      <c r="CG135" t="s">
        <v>2103</v>
      </c>
      <c r="CH135" t="s">
        <v>898</v>
      </c>
      <c r="CI135" t="s">
        <v>2107</v>
      </c>
      <c r="CJ135" t="s">
        <v>2107</v>
      </c>
      <c r="CM135" t="s">
        <v>2108</v>
      </c>
      <c r="CO135" t="s">
        <v>2109</v>
      </c>
      <c r="CP135" t="s">
        <v>873</v>
      </c>
      <c r="CT135" t="s">
        <v>901</v>
      </c>
    </row>
    <row r="136" spans="1:98" x14ac:dyDescent="0.15">
      <c r="A136" t="s">
        <v>861</v>
      </c>
      <c r="B136" t="s">
        <v>862</v>
      </c>
      <c r="C136" t="s">
        <v>389</v>
      </c>
      <c r="D136" t="s">
        <v>389</v>
      </c>
      <c r="E136" t="s">
        <v>389</v>
      </c>
      <c r="F136" t="s">
        <v>863</v>
      </c>
      <c r="G136" t="s">
        <v>1025</v>
      </c>
      <c r="H136" t="s">
        <v>865</v>
      </c>
      <c r="I136" t="s">
        <v>388</v>
      </c>
      <c r="J136" t="s">
        <v>2110</v>
      </c>
      <c r="K136" t="s">
        <v>867</v>
      </c>
      <c r="L136" t="s">
        <v>868</v>
      </c>
      <c r="N136" t="s">
        <v>861</v>
      </c>
      <c r="O136">
        <v>0</v>
      </c>
      <c r="P136" t="s">
        <v>869</v>
      </c>
      <c r="Q136" t="s">
        <v>15</v>
      </c>
      <c r="R136" t="s">
        <v>870</v>
      </c>
      <c r="S136" t="s">
        <v>954</v>
      </c>
      <c r="T136" t="s">
        <v>1793</v>
      </c>
      <c r="U136" t="s">
        <v>1793</v>
      </c>
      <c r="V136" t="s">
        <v>1441</v>
      </c>
      <c r="W136" t="s">
        <v>1261</v>
      </c>
      <c r="Y136" t="s">
        <v>874</v>
      </c>
      <c r="Z136" t="s">
        <v>861</v>
      </c>
      <c r="AA136" t="s">
        <v>875</v>
      </c>
      <c r="AF136" t="s">
        <v>1795</v>
      </c>
      <c r="AG136" t="s">
        <v>2111</v>
      </c>
      <c r="AH136" t="s">
        <v>964</v>
      </c>
      <c r="AI136" t="s">
        <v>1264</v>
      </c>
      <c r="AJ136" t="s">
        <v>861</v>
      </c>
      <c r="AK136" t="s">
        <v>880</v>
      </c>
      <c r="AL136" t="s">
        <v>1001</v>
      </c>
      <c r="AM136" t="s">
        <v>967</v>
      </c>
      <c r="AP136" t="s">
        <v>1264</v>
      </c>
      <c r="AQ136" t="s">
        <v>1088</v>
      </c>
      <c r="AR136" t="s">
        <v>2112</v>
      </c>
      <c r="AS136" t="s">
        <v>1088</v>
      </c>
      <c r="AT136" t="s">
        <v>1088</v>
      </c>
      <c r="AU136" t="s">
        <v>886</v>
      </c>
      <c r="AW136" t="s">
        <v>1226</v>
      </c>
      <c r="AX136" t="s">
        <v>957</v>
      </c>
      <c r="AZ136" t="s">
        <v>1526</v>
      </c>
      <c r="BA136" t="s">
        <v>1267</v>
      </c>
      <c r="BK136" t="s">
        <v>891</v>
      </c>
      <c r="BL136">
        <v>823</v>
      </c>
      <c r="BM136">
        <v>67.59</v>
      </c>
      <c r="BN136">
        <v>14896.9</v>
      </c>
      <c r="BO136">
        <v>33614.17</v>
      </c>
      <c r="BP136">
        <v>33614.17</v>
      </c>
      <c r="BQ136">
        <v>33614.17</v>
      </c>
      <c r="BR136">
        <v>0</v>
      </c>
      <c r="BS136" t="s">
        <v>892</v>
      </c>
      <c r="BT136">
        <v>2639</v>
      </c>
      <c r="BV136" t="s">
        <v>1800</v>
      </c>
      <c r="BW136" t="s">
        <v>1154</v>
      </c>
      <c r="BX136" t="s">
        <v>895</v>
      </c>
      <c r="BY136" t="s">
        <v>2100</v>
      </c>
      <c r="CD136" t="s">
        <v>2101</v>
      </c>
      <c r="CG136" t="s">
        <v>2110</v>
      </c>
      <c r="CH136" t="s">
        <v>898</v>
      </c>
      <c r="CI136" t="s">
        <v>2113</v>
      </c>
      <c r="CJ136" t="s">
        <v>2113</v>
      </c>
      <c r="CP136" t="s">
        <v>873</v>
      </c>
      <c r="CT136" t="s">
        <v>901</v>
      </c>
    </row>
    <row r="137" spans="1:98" x14ac:dyDescent="0.15">
      <c r="A137" t="s">
        <v>861</v>
      </c>
      <c r="B137" t="s">
        <v>862</v>
      </c>
      <c r="C137" t="s">
        <v>270</v>
      </c>
      <c r="D137" t="s">
        <v>270</v>
      </c>
      <c r="E137" t="s">
        <v>270</v>
      </c>
      <c r="F137" t="s">
        <v>863</v>
      </c>
      <c r="G137" t="s">
        <v>1025</v>
      </c>
      <c r="H137" t="s">
        <v>1026</v>
      </c>
      <c r="I137" t="s">
        <v>269</v>
      </c>
      <c r="J137" t="s">
        <v>2114</v>
      </c>
      <c r="K137" t="s">
        <v>867</v>
      </c>
      <c r="L137" t="s">
        <v>868</v>
      </c>
      <c r="N137" t="s">
        <v>861</v>
      </c>
      <c r="O137">
        <v>0</v>
      </c>
      <c r="P137" t="s">
        <v>869</v>
      </c>
      <c r="Q137" t="s">
        <v>15</v>
      </c>
      <c r="R137" t="s">
        <v>870</v>
      </c>
      <c r="S137" t="s">
        <v>954</v>
      </c>
      <c r="T137" t="s">
        <v>1793</v>
      </c>
      <c r="U137" t="s">
        <v>1793</v>
      </c>
      <c r="V137" t="s">
        <v>1441</v>
      </c>
      <c r="W137" t="s">
        <v>1261</v>
      </c>
      <c r="Y137" t="s">
        <v>874</v>
      </c>
      <c r="Z137" t="s">
        <v>861</v>
      </c>
      <c r="AA137" t="s">
        <v>875</v>
      </c>
      <c r="AF137" t="s">
        <v>1795</v>
      </c>
      <c r="AG137" t="s">
        <v>2115</v>
      </c>
      <c r="AH137" t="s">
        <v>964</v>
      </c>
      <c r="AI137" t="s">
        <v>1525</v>
      </c>
      <c r="AJ137" t="s">
        <v>861</v>
      </c>
      <c r="AK137" t="s">
        <v>880</v>
      </c>
      <c r="AL137" t="s">
        <v>1001</v>
      </c>
      <c r="AM137" t="s">
        <v>967</v>
      </c>
      <c r="AN137" t="s">
        <v>967</v>
      </c>
      <c r="AO137" t="s">
        <v>2116</v>
      </c>
      <c r="AP137" t="s">
        <v>1525</v>
      </c>
      <c r="AQ137" t="s">
        <v>1088</v>
      </c>
      <c r="AR137" t="s">
        <v>2117</v>
      </c>
      <c r="AS137" t="s">
        <v>1088</v>
      </c>
      <c r="AT137" t="s">
        <v>1088</v>
      </c>
      <c r="AU137" t="s">
        <v>886</v>
      </c>
      <c r="AW137" t="s">
        <v>1226</v>
      </c>
      <c r="AX137" t="s">
        <v>957</v>
      </c>
      <c r="AZ137" t="s">
        <v>1526</v>
      </c>
      <c r="BA137" t="s">
        <v>1267</v>
      </c>
      <c r="BB137" t="s">
        <v>2118</v>
      </c>
      <c r="BK137" t="s">
        <v>891</v>
      </c>
      <c r="BL137">
        <v>527</v>
      </c>
      <c r="BM137">
        <v>64.930000000000007</v>
      </c>
      <c r="BN137">
        <v>22542.7</v>
      </c>
      <c r="BO137">
        <v>37669.08</v>
      </c>
      <c r="BP137">
        <v>37669.08</v>
      </c>
      <c r="BQ137">
        <v>37669.08</v>
      </c>
      <c r="BR137">
        <v>0</v>
      </c>
      <c r="BS137" t="s">
        <v>892</v>
      </c>
      <c r="BT137">
        <v>2639</v>
      </c>
      <c r="BV137" t="s">
        <v>1800</v>
      </c>
      <c r="BW137" t="s">
        <v>1154</v>
      </c>
      <c r="BX137" t="s">
        <v>895</v>
      </c>
      <c r="BY137" t="s">
        <v>1137</v>
      </c>
      <c r="CD137" t="s">
        <v>1138</v>
      </c>
      <c r="CG137" t="s">
        <v>2114</v>
      </c>
      <c r="CH137" t="s">
        <v>898</v>
      </c>
      <c r="CI137" t="s">
        <v>2119</v>
      </c>
      <c r="CJ137" t="s">
        <v>2119</v>
      </c>
      <c r="CM137" t="s">
        <v>1044</v>
      </c>
      <c r="CN137" t="s">
        <v>1045</v>
      </c>
      <c r="CO137" t="s">
        <v>2120</v>
      </c>
      <c r="CP137" t="s">
        <v>873</v>
      </c>
      <c r="CT137" t="s">
        <v>901</v>
      </c>
    </row>
    <row r="138" spans="1:98" x14ac:dyDescent="0.15">
      <c r="A138" t="s">
        <v>861</v>
      </c>
      <c r="B138" t="s">
        <v>862</v>
      </c>
      <c r="C138" t="s">
        <v>258</v>
      </c>
      <c r="D138" t="s">
        <v>258</v>
      </c>
      <c r="E138" t="s">
        <v>258</v>
      </c>
      <c r="F138" t="s">
        <v>863</v>
      </c>
      <c r="G138" t="s">
        <v>1025</v>
      </c>
      <c r="H138" t="s">
        <v>1026</v>
      </c>
      <c r="I138" t="s">
        <v>257</v>
      </c>
      <c r="J138" t="s">
        <v>2121</v>
      </c>
      <c r="K138" t="s">
        <v>867</v>
      </c>
      <c r="L138" t="s">
        <v>868</v>
      </c>
      <c r="N138" t="s">
        <v>861</v>
      </c>
      <c r="O138">
        <v>0</v>
      </c>
      <c r="P138" t="s">
        <v>869</v>
      </c>
      <c r="Q138" t="s">
        <v>15</v>
      </c>
      <c r="R138" t="s">
        <v>870</v>
      </c>
      <c r="S138" t="s">
        <v>954</v>
      </c>
      <c r="T138" t="s">
        <v>1793</v>
      </c>
      <c r="U138" t="s">
        <v>1793</v>
      </c>
      <c r="V138" t="s">
        <v>1441</v>
      </c>
      <c r="W138" t="s">
        <v>1261</v>
      </c>
      <c r="Y138" t="s">
        <v>874</v>
      </c>
      <c r="Z138" t="s">
        <v>861</v>
      </c>
      <c r="AA138" t="s">
        <v>875</v>
      </c>
      <c r="AF138" t="s">
        <v>1795</v>
      </c>
      <c r="AG138" t="s">
        <v>2122</v>
      </c>
      <c r="AH138" t="s">
        <v>964</v>
      </c>
      <c r="AI138" t="s">
        <v>1525</v>
      </c>
      <c r="AJ138" t="s">
        <v>861</v>
      </c>
      <c r="AK138" t="s">
        <v>880</v>
      </c>
      <c r="AL138" t="s">
        <v>1001</v>
      </c>
      <c r="AM138" t="s">
        <v>967</v>
      </c>
      <c r="AN138" t="s">
        <v>967</v>
      </c>
      <c r="AO138" t="s">
        <v>2123</v>
      </c>
      <c r="AP138" t="s">
        <v>1525</v>
      </c>
      <c r="AQ138" t="s">
        <v>1088</v>
      </c>
      <c r="AR138" t="s">
        <v>2124</v>
      </c>
      <c r="AS138" t="s">
        <v>1088</v>
      </c>
      <c r="AT138" t="s">
        <v>1088</v>
      </c>
      <c r="AU138" t="s">
        <v>886</v>
      </c>
      <c r="AW138" t="s">
        <v>1226</v>
      </c>
      <c r="AX138" t="s">
        <v>1267</v>
      </c>
      <c r="AZ138" t="s">
        <v>1526</v>
      </c>
      <c r="BA138" t="s">
        <v>1002</v>
      </c>
      <c r="BB138" t="s">
        <v>2125</v>
      </c>
      <c r="BH138" t="s">
        <v>2126</v>
      </c>
      <c r="BK138" t="s">
        <v>891</v>
      </c>
      <c r="BL138">
        <v>594</v>
      </c>
      <c r="BM138">
        <v>68.83</v>
      </c>
      <c r="BN138">
        <v>11932.3</v>
      </c>
      <c r="BO138">
        <v>24292.13</v>
      </c>
      <c r="BP138">
        <v>24292.13</v>
      </c>
      <c r="BQ138">
        <v>24292.13</v>
      </c>
      <c r="BR138">
        <v>0</v>
      </c>
      <c r="BS138" t="s">
        <v>892</v>
      </c>
      <c r="BT138">
        <v>2639</v>
      </c>
      <c r="BV138" t="s">
        <v>1800</v>
      </c>
      <c r="BW138" t="s">
        <v>1154</v>
      </c>
      <c r="BX138" t="s">
        <v>895</v>
      </c>
      <c r="BY138" t="s">
        <v>1008</v>
      </c>
      <c r="CD138" t="s">
        <v>1447</v>
      </c>
      <c r="CG138" t="s">
        <v>2121</v>
      </c>
      <c r="CH138" t="s">
        <v>898</v>
      </c>
      <c r="CI138" t="s">
        <v>2127</v>
      </c>
      <c r="CJ138" t="s">
        <v>2127</v>
      </c>
      <c r="CM138" t="s">
        <v>1044</v>
      </c>
      <c r="CN138" t="s">
        <v>1045</v>
      </c>
      <c r="CO138" t="s">
        <v>2128</v>
      </c>
      <c r="CP138" t="s">
        <v>873</v>
      </c>
      <c r="CT138" t="s">
        <v>901</v>
      </c>
    </row>
    <row r="139" spans="1:98" x14ac:dyDescent="0.15">
      <c r="A139" t="s">
        <v>861</v>
      </c>
      <c r="B139" t="s">
        <v>862</v>
      </c>
      <c r="C139" t="s">
        <v>481</v>
      </c>
      <c r="D139" t="s">
        <v>481</v>
      </c>
      <c r="E139" t="s">
        <v>481</v>
      </c>
      <c r="F139" t="s">
        <v>863</v>
      </c>
      <c r="G139" t="s">
        <v>1025</v>
      </c>
      <c r="H139" t="s">
        <v>1026</v>
      </c>
      <c r="I139" t="s">
        <v>480</v>
      </c>
      <c r="J139" t="s">
        <v>2129</v>
      </c>
      <c r="K139" t="s">
        <v>867</v>
      </c>
      <c r="L139" t="s">
        <v>868</v>
      </c>
      <c r="N139" t="s">
        <v>861</v>
      </c>
      <c r="O139">
        <v>0</v>
      </c>
      <c r="P139" t="s">
        <v>869</v>
      </c>
      <c r="Q139" t="s">
        <v>15</v>
      </c>
      <c r="R139" t="s">
        <v>870</v>
      </c>
      <c r="S139" t="s">
        <v>954</v>
      </c>
      <c r="T139" t="s">
        <v>1793</v>
      </c>
      <c r="U139" t="s">
        <v>1793</v>
      </c>
      <c r="V139" t="s">
        <v>1441</v>
      </c>
      <c r="W139" t="s">
        <v>1261</v>
      </c>
      <c r="Y139" t="s">
        <v>874</v>
      </c>
      <c r="Z139" t="s">
        <v>861</v>
      </c>
      <c r="AA139" t="s">
        <v>875</v>
      </c>
      <c r="AF139" t="s">
        <v>1795</v>
      </c>
      <c r="AG139" t="s">
        <v>2130</v>
      </c>
      <c r="AH139" t="s">
        <v>964</v>
      </c>
      <c r="AI139" t="s">
        <v>1525</v>
      </c>
      <c r="AJ139" t="s">
        <v>861</v>
      </c>
      <c r="AK139" t="s">
        <v>880</v>
      </c>
      <c r="AL139" t="s">
        <v>1001</v>
      </c>
      <c r="AM139" t="s">
        <v>967</v>
      </c>
      <c r="AN139" t="s">
        <v>967</v>
      </c>
      <c r="AO139" t="s">
        <v>2131</v>
      </c>
      <c r="AP139" t="s">
        <v>1525</v>
      </c>
      <c r="AQ139" t="s">
        <v>1088</v>
      </c>
      <c r="AR139" t="s">
        <v>2132</v>
      </c>
      <c r="AS139" t="s">
        <v>1088</v>
      </c>
      <c r="AT139" t="s">
        <v>1088</v>
      </c>
      <c r="AU139" t="s">
        <v>886</v>
      </c>
      <c r="AW139" t="s">
        <v>1226</v>
      </c>
      <c r="AX139" t="s">
        <v>1267</v>
      </c>
      <c r="AZ139" t="s">
        <v>1526</v>
      </c>
      <c r="BA139" t="s">
        <v>1002</v>
      </c>
      <c r="BB139" t="s">
        <v>2133</v>
      </c>
      <c r="BK139" t="s">
        <v>891</v>
      </c>
      <c r="BL139">
        <v>891</v>
      </c>
      <c r="BM139">
        <v>66.78</v>
      </c>
      <c r="BN139">
        <v>9977.2000000000007</v>
      </c>
      <c r="BO139">
        <v>20373.650000000001</v>
      </c>
      <c r="BP139">
        <v>20373.650000000001</v>
      </c>
      <c r="BQ139">
        <v>20373.650000000001</v>
      </c>
      <c r="BR139">
        <v>0</v>
      </c>
      <c r="BS139" t="s">
        <v>892</v>
      </c>
      <c r="BT139">
        <v>2639</v>
      </c>
      <c r="BV139" t="s">
        <v>1800</v>
      </c>
      <c r="BW139" t="s">
        <v>1154</v>
      </c>
      <c r="BX139" t="s">
        <v>895</v>
      </c>
      <c r="BY139" t="s">
        <v>2100</v>
      </c>
      <c r="CD139" t="s">
        <v>2134</v>
      </c>
      <c r="CG139" t="s">
        <v>2129</v>
      </c>
      <c r="CH139" t="s">
        <v>898</v>
      </c>
      <c r="CI139" t="s">
        <v>2135</v>
      </c>
      <c r="CJ139" t="s">
        <v>2135</v>
      </c>
      <c r="CM139" t="s">
        <v>1044</v>
      </c>
      <c r="CN139" t="s">
        <v>1045</v>
      </c>
      <c r="CO139" t="s">
        <v>2136</v>
      </c>
      <c r="CP139" t="s">
        <v>873</v>
      </c>
      <c r="CT139" t="s">
        <v>901</v>
      </c>
    </row>
    <row r="140" spans="1:98" x14ac:dyDescent="0.15">
      <c r="A140" t="s">
        <v>861</v>
      </c>
      <c r="B140" t="s">
        <v>862</v>
      </c>
      <c r="C140" t="s">
        <v>399</v>
      </c>
      <c r="D140" t="s">
        <v>399</v>
      </c>
      <c r="E140" t="s">
        <v>399</v>
      </c>
      <c r="F140" t="s">
        <v>863</v>
      </c>
      <c r="G140" t="s">
        <v>1025</v>
      </c>
      <c r="H140" t="s">
        <v>1026</v>
      </c>
      <c r="I140" t="s">
        <v>398</v>
      </c>
      <c r="J140" t="s">
        <v>2137</v>
      </c>
      <c r="K140" t="s">
        <v>867</v>
      </c>
      <c r="L140" t="s">
        <v>868</v>
      </c>
      <c r="N140" t="s">
        <v>1259</v>
      </c>
      <c r="O140">
        <v>0</v>
      </c>
      <c r="P140" t="s">
        <v>869</v>
      </c>
      <c r="Q140" t="s">
        <v>15</v>
      </c>
      <c r="R140" t="s">
        <v>870</v>
      </c>
      <c r="S140" t="s">
        <v>954</v>
      </c>
      <c r="T140" t="s">
        <v>1793</v>
      </c>
      <c r="U140" t="s">
        <v>1793</v>
      </c>
      <c r="V140" t="s">
        <v>1441</v>
      </c>
      <c r="W140" t="s">
        <v>1261</v>
      </c>
      <c r="Y140" t="s">
        <v>874</v>
      </c>
      <c r="Z140" t="s">
        <v>861</v>
      </c>
      <c r="AA140" t="s">
        <v>875</v>
      </c>
      <c r="AF140" t="s">
        <v>1795</v>
      </c>
      <c r="AG140" t="s">
        <v>2138</v>
      </c>
      <c r="AH140" t="s">
        <v>964</v>
      </c>
      <c r="AI140" t="s">
        <v>1525</v>
      </c>
      <c r="AJ140" t="s">
        <v>861</v>
      </c>
      <c r="AK140" t="s">
        <v>880</v>
      </c>
      <c r="AL140" t="s">
        <v>1001</v>
      </c>
      <c r="AM140" t="s">
        <v>967</v>
      </c>
      <c r="AN140" t="s">
        <v>967</v>
      </c>
      <c r="AO140" t="s">
        <v>2139</v>
      </c>
      <c r="AP140" t="s">
        <v>1525</v>
      </c>
      <c r="AQ140" t="s">
        <v>1088</v>
      </c>
      <c r="AR140" t="s">
        <v>2140</v>
      </c>
      <c r="AS140" t="s">
        <v>1088</v>
      </c>
      <c r="AT140" t="s">
        <v>1088</v>
      </c>
      <c r="AU140" t="s">
        <v>886</v>
      </c>
      <c r="AW140" t="s">
        <v>1226</v>
      </c>
      <c r="AX140" t="s">
        <v>1267</v>
      </c>
      <c r="AZ140" t="s">
        <v>1526</v>
      </c>
      <c r="BA140" t="s">
        <v>1002</v>
      </c>
      <c r="BB140" t="s">
        <v>2141</v>
      </c>
      <c r="BK140" t="s">
        <v>891</v>
      </c>
      <c r="BL140">
        <v>525</v>
      </c>
      <c r="BM140">
        <v>64.53</v>
      </c>
      <c r="BN140">
        <v>12996.5</v>
      </c>
      <c r="BO140">
        <v>29908.6</v>
      </c>
      <c r="BP140">
        <v>29908.6</v>
      </c>
      <c r="BQ140">
        <v>29908.6</v>
      </c>
      <c r="BR140">
        <v>0</v>
      </c>
      <c r="BS140" t="s">
        <v>892</v>
      </c>
      <c r="BT140">
        <v>2639</v>
      </c>
      <c r="BV140" t="s">
        <v>1800</v>
      </c>
      <c r="BW140" t="s">
        <v>1154</v>
      </c>
      <c r="BX140" t="s">
        <v>895</v>
      </c>
      <c r="BY140" t="s">
        <v>1008</v>
      </c>
      <c r="CD140" t="s">
        <v>2134</v>
      </c>
      <c r="CG140" t="s">
        <v>2137</v>
      </c>
      <c r="CH140" t="s">
        <v>898</v>
      </c>
      <c r="CI140" t="s">
        <v>2142</v>
      </c>
      <c r="CJ140" t="s">
        <v>2142</v>
      </c>
      <c r="CM140" t="s">
        <v>1044</v>
      </c>
      <c r="CN140" t="s">
        <v>1045</v>
      </c>
      <c r="CO140" t="s">
        <v>2143</v>
      </c>
      <c r="CP140" t="s">
        <v>873</v>
      </c>
      <c r="CT140" t="s">
        <v>901</v>
      </c>
    </row>
    <row r="141" spans="1:98" x14ac:dyDescent="0.15">
      <c r="A141" t="s">
        <v>861</v>
      </c>
      <c r="B141" t="s">
        <v>862</v>
      </c>
      <c r="C141" t="s">
        <v>501</v>
      </c>
      <c r="D141" t="s">
        <v>501</v>
      </c>
      <c r="E141" t="s">
        <v>501</v>
      </c>
      <c r="F141" t="s">
        <v>863</v>
      </c>
      <c r="G141" t="s">
        <v>864</v>
      </c>
      <c r="H141" t="s">
        <v>916</v>
      </c>
      <c r="I141" t="s">
        <v>499</v>
      </c>
      <c r="J141" t="s">
        <v>2144</v>
      </c>
      <c r="K141" t="s">
        <v>977</v>
      </c>
      <c r="L141" t="s">
        <v>868</v>
      </c>
      <c r="N141" t="s">
        <v>861</v>
      </c>
      <c r="O141">
        <v>0</v>
      </c>
      <c r="P141" t="s">
        <v>2145</v>
      </c>
      <c r="Q141" t="s">
        <v>15</v>
      </c>
      <c r="R141" t="s">
        <v>2146</v>
      </c>
      <c r="S141" t="s">
        <v>954</v>
      </c>
      <c r="T141" t="s">
        <v>1278</v>
      </c>
      <c r="U141" t="s">
        <v>1278</v>
      </c>
      <c r="V141" t="s">
        <v>1275</v>
      </c>
      <c r="W141" t="s">
        <v>942</v>
      </c>
      <c r="Y141" t="s">
        <v>874</v>
      </c>
      <c r="Z141" t="s">
        <v>861</v>
      </c>
      <c r="AA141" t="s">
        <v>958</v>
      </c>
      <c r="AB141" t="s">
        <v>2147</v>
      </c>
      <c r="AD141" t="s">
        <v>2148</v>
      </c>
      <c r="AE141" t="s">
        <v>2149</v>
      </c>
      <c r="AJ141" t="s">
        <v>861</v>
      </c>
      <c r="AK141" t="s">
        <v>880</v>
      </c>
      <c r="AP141" t="s">
        <v>1266</v>
      </c>
      <c r="AZ141" t="s">
        <v>2150</v>
      </c>
      <c r="BK141" t="s">
        <v>891</v>
      </c>
      <c r="BL141">
        <v>384</v>
      </c>
      <c r="BM141">
        <v>65.58</v>
      </c>
      <c r="BN141">
        <v>7381</v>
      </c>
      <c r="BO141">
        <v>17049</v>
      </c>
      <c r="BP141">
        <v>17049</v>
      </c>
      <c r="BQ141">
        <v>17049</v>
      </c>
      <c r="BR141">
        <v>0</v>
      </c>
      <c r="BS141" t="s">
        <v>892</v>
      </c>
      <c r="BT141">
        <v>3006</v>
      </c>
      <c r="BV141" t="s">
        <v>2151</v>
      </c>
      <c r="BW141" t="s">
        <v>2152</v>
      </c>
      <c r="BX141" t="s">
        <v>895</v>
      </c>
      <c r="BY141" t="s">
        <v>2153</v>
      </c>
      <c r="CG141" t="s">
        <v>2154</v>
      </c>
      <c r="CH141" t="s">
        <v>994</v>
      </c>
      <c r="CI141" t="s">
        <v>2154</v>
      </c>
      <c r="CJ141" t="s">
        <v>2154</v>
      </c>
      <c r="CP141" t="s">
        <v>1275</v>
      </c>
      <c r="CT141" t="s">
        <v>2155</v>
      </c>
    </row>
    <row r="142" spans="1:98" x14ac:dyDescent="0.15">
      <c r="A142" t="s">
        <v>861</v>
      </c>
      <c r="B142" t="s">
        <v>862</v>
      </c>
      <c r="C142" t="s">
        <v>753</v>
      </c>
      <c r="D142" t="s">
        <v>753</v>
      </c>
      <c r="E142" t="s">
        <v>753</v>
      </c>
      <c r="F142" t="s">
        <v>863</v>
      </c>
      <c r="G142" t="s">
        <v>864</v>
      </c>
      <c r="H142" t="s">
        <v>863</v>
      </c>
      <c r="I142" t="s">
        <v>752</v>
      </c>
      <c r="J142" t="s">
        <v>2156</v>
      </c>
      <c r="K142" t="s">
        <v>977</v>
      </c>
      <c r="L142" t="s">
        <v>868</v>
      </c>
      <c r="N142" t="s">
        <v>861</v>
      </c>
      <c r="O142">
        <v>0</v>
      </c>
      <c r="P142" t="s">
        <v>1180</v>
      </c>
      <c r="Q142" t="s">
        <v>15</v>
      </c>
      <c r="R142" t="s">
        <v>919</v>
      </c>
      <c r="S142" t="s">
        <v>954</v>
      </c>
      <c r="T142" t="s">
        <v>1274</v>
      </c>
      <c r="U142" t="s">
        <v>1274</v>
      </c>
      <c r="V142" t="s">
        <v>1048</v>
      </c>
      <c r="W142" t="s">
        <v>1267</v>
      </c>
      <c r="Y142" t="s">
        <v>874</v>
      </c>
      <c r="Z142" t="s">
        <v>861</v>
      </c>
      <c r="AA142" t="s">
        <v>922</v>
      </c>
      <c r="AD142" t="s">
        <v>2148</v>
      </c>
      <c r="AJ142" t="s">
        <v>861</v>
      </c>
      <c r="AK142" t="s">
        <v>880</v>
      </c>
      <c r="AL142" t="s">
        <v>1001</v>
      </c>
      <c r="AM142" t="s">
        <v>967</v>
      </c>
      <c r="AP142" t="s">
        <v>1276</v>
      </c>
      <c r="AQ142" t="s">
        <v>965</v>
      </c>
      <c r="AS142" t="s">
        <v>965</v>
      </c>
      <c r="AT142" t="s">
        <v>965</v>
      </c>
      <c r="AU142" t="s">
        <v>886</v>
      </c>
      <c r="AW142" t="s">
        <v>969</v>
      </c>
      <c r="AX142" t="s">
        <v>1003</v>
      </c>
      <c r="AZ142" t="s">
        <v>1577</v>
      </c>
      <c r="BA142" t="s">
        <v>925</v>
      </c>
      <c r="BK142" t="s">
        <v>891</v>
      </c>
      <c r="BL142">
        <v>671</v>
      </c>
      <c r="BM142">
        <v>68.13</v>
      </c>
      <c r="BN142">
        <v>10294.4</v>
      </c>
      <c r="BO142">
        <v>22811.89</v>
      </c>
      <c r="BP142">
        <v>22811.89</v>
      </c>
      <c r="BQ142">
        <v>22811.89</v>
      </c>
      <c r="BR142">
        <v>0</v>
      </c>
      <c r="BS142" t="s">
        <v>892</v>
      </c>
      <c r="BT142">
        <v>2906</v>
      </c>
      <c r="BV142" t="s">
        <v>1192</v>
      </c>
      <c r="BW142" t="s">
        <v>1193</v>
      </c>
      <c r="BX142" t="s">
        <v>895</v>
      </c>
      <c r="BY142" t="s">
        <v>1716</v>
      </c>
      <c r="CD142" t="s">
        <v>2157</v>
      </c>
      <c r="CG142" t="s">
        <v>2158</v>
      </c>
      <c r="CH142" t="s">
        <v>994</v>
      </c>
      <c r="CI142" t="s">
        <v>2158</v>
      </c>
      <c r="CJ142" t="s">
        <v>2158</v>
      </c>
      <c r="CP142" t="s">
        <v>1272</v>
      </c>
      <c r="CT142" t="s">
        <v>901</v>
      </c>
    </row>
    <row r="143" spans="1:98" x14ac:dyDescent="0.15">
      <c r="A143" t="s">
        <v>861</v>
      </c>
      <c r="B143" t="s">
        <v>862</v>
      </c>
      <c r="C143" t="s">
        <v>87</v>
      </c>
      <c r="D143" t="s">
        <v>87</v>
      </c>
      <c r="E143" t="s">
        <v>87</v>
      </c>
      <c r="F143" t="s">
        <v>863</v>
      </c>
      <c r="G143" t="s">
        <v>864</v>
      </c>
      <c r="H143" t="s">
        <v>937</v>
      </c>
      <c r="I143" t="s">
        <v>86</v>
      </c>
      <c r="J143" t="s">
        <v>2159</v>
      </c>
      <c r="K143" t="s">
        <v>867</v>
      </c>
      <c r="L143" t="s">
        <v>868</v>
      </c>
      <c r="N143" t="s">
        <v>861</v>
      </c>
      <c r="O143">
        <v>0</v>
      </c>
      <c r="P143" t="s">
        <v>1159</v>
      </c>
      <c r="Q143" t="s">
        <v>15</v>
      </c>
      <c r="R143" t="s">
        <v>919</v>
      </c>
      <c r="S143" t="s">
        <v>954</v>
      </c>
      <c r="T143" t="s">
        <v>955</v>
      </c>
      <c r="U143" t="s">
        <v>955</v>
      </c>
      <c r="V143" t="s">
        <v>1078</v>
      </c>
      <c r="W143" t="s">
        <v>957</v>
      </c>
      <c r="Y143" t="s">
        <v>910</v>
      </c>
      <c r="Z143" t="s">
        <v>861</v>
      </c>
      <c r="AA143" t="s">
        <v>958</v>
      </c>
      <c r="AB143" t="s">
        <v>2160</v>
      </c>
      <c r="AD143" t="s">
        <v>960</v>
      </c>
      <c r="AE143" t="s">
        <v>2161</v>
      </c>
      <c r="AF143" t="s">
        <v>962</v>
      </c>
      <c r="AG143" t="s">
        <v>2162</v>
      </c>
      <c r="AH143" t="s">
        <v>964</v>
      </c>
      <c r="AI143" t="s">
        <v>965</v>
      </c>
      <c r="AJ143" t="s">
        <v>861</v>
      </c>
      <c r="AK143" t="s">
        <v>880</v>
      </c>
      <c r="AL143" t="s">
        <v>966</v>
      </c>
      <c r="AM143" t="s">
        <v>967</v>
      </c>
      <c r="AP143" t="s">
        <v>965</v>
      </c>
      <c r="AQ143" t="s">
        <v>968</v>
      </c>
      <c r="AS143" t="s">
        <v>968</v>
      </c>
      <c r="AT143" t="s">
        <v>968</v>
      </c>
      <c r="AU143" t="s">
        <v>886</v>
      </c>
      <c r="AW143" t="s">
        <v>942</v>
      </c>
      <c r="AX143" t="s">
        <v>969</v>
      </c>
      <c r="AZ143" t="s">
        <v>925</v>
      </c>
      <c r="BA143" t="s">
        <v>1425</v>
      </c>
      <c r="BK143" t="s">
        <v>891</v>
      </c>
      <c r="BL143">
        <v>447</v>
      </c>
      <c r="BM143">
        <v>66.3</v>
      </c>
      <c r="BN143">
        <v>11107.4</v>
      </c>
      <c r="BO143">
        <v>22522.99</v>
      </c>
      <c r="BP143">
        <v>22522.99</v>
      </c>
      <c r="BQ143">
        <v>22522.99</v>
      </c>
      <c r="BR143">
        <v>0</v>
      </c>
      <c r="BS143" t="s">
        <v>892</v>
      </c>
      <c r="BT143">
        <v>2529</v>
      </c>
      <c r="BV143" t="s">
        <v>2163</v>
      </c>
      <c r="BW143" t="s">
        <v>2164</v>
      </c>
      <c r="BX143" t="s">
        <v>895</v>
      </c>
      <c r="BY143" t="s">
        <v>2165</v>
      </c>
      <c r="CD143" t="s">
        <v>2166</v>
      </c>
      <c r="CG143" t="s">
        <v>2159</v>
      </c>
      <c r="CH143" t="s">
        <v>898</v>
      </c>
      <c r="CI143" t="s">
        <v>2167</v>
      </c>
      <c r="CJ143" t="s">
        <v>2167</v>
      </c>
      <c r="CP143" t="s">
        <v>974</v>
      </c>
      <c r="CT143" t="s">
        <v>901</v>
      </c>
    </row>
    <row r="144" spans="1:98" x14ac:dyDescent="0.15">
      <c r="A144" t="s">
        <v>861</v>
      </c>
      <c r="B144" t="s">
        <v>862</v>
      </c>
      <c r="C144" t="s">
        <v>166</v>
      </c>
      <c r="D144" t="s">
        <v>166</v>
      </c>
      <c r="E144" t="s">
        <v>166</v>
      </c>
      <c r="F144" t="s">
        <v>863</v>
      </c>
      <c r="G144" t="s">
        <v>1025</v>
      </c>
      <c r="H144" t="s">
        <v>1026</v>
      </c>
      <c r="I144" t="s">
        <v>164</v>
      </c>
      <c r="J144" t="s">
        <v>2168</v>
      </c>
      <c r="K144" t="s">
        <v>977</v>
      </c>
      <c r="L144" t="s">
        <v>868</v>
      </c>
      <c r="N144" t="s">
        <v>861</v>
      </c>
      <c r="O144">
        <v>0</v>
      </c>
      <c r="P144" t="s">
        <v>1180</v>
      </c>
      <c r="Q144" t="s">
        <v>36</v>
      </c>
      <c r="R144" t="s">
        <v>919</v>
      </c>
      <c r="S144" t="s">
        <v>979</v>
      </c>
      <c r="T144" t="s">
        <v>2169</v>
      </c>
      <c r="U144" t="s">
        <v>2169</v>
      </c>
      <c r="V144" t="s">
        <v>1048</v>
      </c>
      <c r="W144" t="s">
        <v>1304</v>
      </c>
      <c r="Y144" t="s">
        <v>874</v>
      </c>
      <c r="Z144" t="s">
        <v>861</v>
      </c>
      <c r="AA144" t="s">
        <v>875</v>
      </c>
      <c r="AD144" t="s">
        <v>1604</v>
      </c>
      <c r="AF144" t="s">
        <v>2170</v>
      </c>
      <c r="AG144" t="s">
        <v>2171</v>
      </c>
      <c r="AH144" t="s">
        <v>1129</v>
      </c>
      <c r="AI144" t="s">
        <v>1248</v>
      </c>
      <c r="AJ144" t="s">
        <v>861</v>
      </c>
      <c r="AK144" t="s">
        <v>880</v>
      </c>
      <c r="AL144" t="s">
        <v>1860</v>
      </c>
      <c r="AM144" t="s">
        <v>986</v>
      </c>
      <c r="AN144" t="s">
        <v>986</v>
      </c>
      <c r="AO144" t="s">
        <v>2172</v>
      </c>
      <c r="AP144" t="s">
        <v>1248</v>
      </c>
      <c r="AQ144" t="s">
        <v>995</v>
      </c>
      <c r="AR144" t="s">
        <v>1250</v>
      </c>
      <c r="AS144" t="s">
        <v>995</v>
      </c>
      <c r="AT144" t="s">
        <v>995</v>
      </c>
      <c r="AU144" t="s">
        <v>886</v>
      </c>
      <c r="AW144" t="s">
        <v>995</v>
      </c>
      <c r="AX144" t="s">
        <v>995</v>
      </c>
      <c r="AZ144" t="s">
        <v>1526</v>
      </c>
      <c r="BA144" t="s">
        <v>1250</v>
      </c>
      <c r="BB144" t="s">
        <v>1132</v>
      </c>
      <c r="BK144" t="s">
        <v>891</v>
      </c>
      <c r="BL144">
        <v>480</v>
      </c>
      <c r="BM144">
        <v>65.77</v>
      </c>
      <c r="BN144">
        <v>11991</v>
      </c>
      <c r="BO144">
        <v>22158.5</v>
      </c>
      <c r="BP144">
        <v>22158.5</v>
      </c>
      <c r="BQ144">
        <v>22158.5</v>
      </c>
      <c r="BR144">
        <v>0</v>
      </c>
      <c r="BS144" t="s">
        <v>892</v>
      </c>
      <c r="BT144">
        <v>1864</v>
      </c>
      <c r="BV144" t="s">
        <v>1605</v>
      </c>
      <c r="BW144" t="s">
        <v>2173</v>
      </c>
      <c r="BX144" t="s">
        <v>895</v>
      </c>
      <c r="BY144" t="s">
        <v>1716</v>
      </c>
      <c r="CD144" t="s">
        <v>2157</v>
      </c>
      <c r="CG144" t="s">
        <v>2174</v>
      </c>
      <c r="CH144" t="s">
        <v>994</v>
      </c>
      <c r="CI144" t="s">
        <v>2174</v>
      </c>
      <c r="CJ144" t="s">
        <v>2174</v>
      </c>
      <c r="CM144" t="s">
        <v>1044</v>
      </c>
      <c r="CN144" t="s">
        <v>1045</v>
      </c>
      <c r="CO144" t="s">
        <v>2175</v>
      </c>
      <c r="CP144" t="s">
        <v>1048</v>
      </c>
      <c r="CT144" t="s">
        <v>901</v>
      </c>
    </row>
    <row r="145" spans="1:98" x14ac:dyDescent="0.15">
      <c r="A145" t="s">
        <v>861</v>
      </c>
      <c r="B145" t="s">
        <v>862</v>
      </c>
      <c r="C145" t="s">
        <v>133</v>
      </c>
      <c r="D145" t="s">
        <v>133</v>
      </c>
      <c r="E145" t="s">
        <v>133</v>
      </c>
      <c r="F145" t="s">
        <v>863</v>
      </c>
      <c r="G145" t="s">
        <v>1025</v>
      </c>
      <c r="H145" t="s">
        <v>1026</v>
      </c>
      <c r="I145" t="s">
        <v>131</v>
      </c>
      <c r="J145" t="s">
        <v>2176</v>
      </c>
      <c r="K145" t="s">
        <v>977</v>
      </c>
      <c r="L145" t="s">
        <v>868</v>
      </c>
      <c r="N145" t="s">
        <v>861</v>
      </c>
      <c r="O145">
        <v>0</v>
      </c>
      <c r="P145" t="s">
        <v>869</v>
      </c>
      <c r="Q145" t="s">
        <v>36</v>
      </c>
      <c r="R145" t="s">
        <v>870</v>
      </c>
      <c r="S145" t="s">
        <v>979</v>
      </c>
      <c r="T145" t="s">
        <v>1212</v>
      </c>
      <c r="U145" t="s">
        <v>1212</v>
      </c>
      <c r="V145" t="s">
        <v>1181</v>
      </c>
      <c r="W145" t="s">
        <v>1320</v>
      </c>
      <c r="Y145" t="s">
        <v>874</v>
      </c>
      <c r="Z145" t="s">
        <v>861</v>
      </c>
      <c r="AA145" t="s">
        <v>958</v>
      </c>
      <c r="AB145" t="s">
        <v>2177</v>
      </c>
      <c r="AD145" t="s">
        <v>1484</v>
      </c>
      <c r="AF145" t="s">
        <v>1322</v>
      </c>
      <c r="AG145" t="s">
        <v>1212</v>
      </c>
      <c r="AH145" t="s">
        <v>1129</v>
      </c>
      <c r="AI145" t="s">
        <v>1323</v>
      </c>
      <c r="AJ145" t="s">
        <v>861</v>
      </c>
      <c r="AK145" t="s">
        <v>880</v>
      </c>
      <c r="AL145" t="s">
        <v>913</v>
      </c>
      <c r="AM145" t="s">
        <v>986</v>
      </c>
      <c r="AN145" t="s">
        <v>986</v>
      </c>
      <c r="AO145" t="s">
        <v>2178</v>
      </c>
      <c r="AP145" t="s">
        <v>1323</v>
      </c>
      <c r="AQ145" t="s">
        <v>1240</v>
      </c>
      <c r="AR145" t="s">
        <v>1234</v>
      </c>
      <c r="AS145" t="s">
        <v>1240</v>
      </c>
      <c r="AT145" t="s">
        <v>1240</v>
      </c>
      <c r="AU145" t="s">
        <v>886</v>
      </c>
      <c r="AW145" t="s">
        <v>1240</v>
      </c>
      <c r="AX145" t="s">
        <v>1240</v>
      </c>
      <c r="AZ145" t="s">
        <v>1226</v>
      </c>
      <c r="BA145" t="s">
        <v>1234</v>
      </c>
      <c r="BB145" t="s">
        <v>1168</v>
      </c>
      <c r="BK145" t="s">
        <v>1134</v>
      </c>
      <c r="BL145">
        <v>297</v>
      </c>
      <c r="BM145">
        <v>66.459999999999994</v>
      </c>
      <c r="BN145">
        <v>6894.8</v>
      </c>
      <c r="BO145">
        <v>20912.73</v>
      </c>
      <c r="BP145">
        <v>20912.73</v>
      </c>
      <c r="BQ145">
        <v>22709.49</v>
      </c>
      <c r="BR145">
        <v>1796.75</v>
      </c>
      <c r="BS145" t="s">
        <v>892</v>
      </c>
      <c r="BT145">
        <v>1794</v>
      </c>
      <c r="BV145" t="s">
        <v>1325</v>
      </c>
      <c r="BW145" t="s">
        <v>1326</v>
      </c>
      <c r="BX145" t="s">
        <v>895</v>
      </c>
      <c r="BY145" t="s">
        <v>2179</v>
      </c>
      <c r="CD145" t="s">
        <v>2180</v>
      </c>
      <c r="CG145" t="s">
        <v>2181</v>
      </c>
      <c r="CH145" t="s">
        <v>994</v>
      </c>
      <c r="CI145" t="s">
        <v>2181</v>
      </c>
      <c r="CJ145" t="s">
        <v>2181</v>
      </c>
      <c r="CM145" t="s">
        <v>1044</v>
      </c>
      <c r="CN145" t="s">
        <v>1045</v>
      </c>
      <c r="CO145" t="s">
        <v>2182</v>
      </c>
      <c r="CP145" t="s">
        <v>1181</v>
      </c>
      <c r="CT145" t="s">
        <v>901</v>
      </c>
    </row>
    <row r="146" spans="1:98" x14ac:dyDescent="0.15">
      <c r="A146" t="s">
        <v>861</v>
      </c>
      <c r="B146" t="s">
        <v>862</v>
      </c>
      <c r="C146" t="s">
        <v>157</v>
      </c>
      <c r="D146" t="s">
        <v>157</v>
      </c>
      <c r="E146" t="s">
        <v>157</v>
      </c>
      <c r="F146" t="s">
        <v>863</v>
      </c>
      <c r="G146" t="s">
        <v>1025</v>
      </c>
      <c r="H146" t="s">
        <v>1026</v>
      </c>
      <c r="I146" t="s">
        <v>156</v>
      </c>
      <c r="J146" t="s">
        <v>2183</v>
      </c>
      <c r="K146" t="s">
        <v>977</v>
      </c>
      <c r="L146" t="s">
        <v>868</v>
      </c>
      <c r="N146" t="s">
        <v>861</v>
      </c>
      <c r="O146">
        <v>0</v>
      </c>
      <c r="P146" t="s">
        <v>869</v>
      </c>
      <c r="Q146" t="s">
        <v>36</v>
      </c>
      <c r="R146" t="s">
        <v>870</v>
      </c>
      <c r="S146" t="s">
        <v>979</v>
      </c>
      <c r="T146" t="s">
        <v>1212</v>
      </c>
      <c r="U146" t="s">
        <v>1212</v>
      </c>
      <c r="V146" t="s">
        <v>1181</v>
      </c>
      <c r="W146" t="s">
        <v>1320</v>
      </c>
      <c r="Y146" t="s">
        <v>874</v>
      </c>
      <c r="Z146" t="s">
        <v>861</v>
      </c>
      <c r="AA146" t="s">
        <v>958</v>
      </c>
      <c r="AB146" t="s">
        <v>2184</v>
      </c>
      <c r="AF146" t="s">
        <v>1322</v>
      </c>
      <c r="AG146" t="s">
        <v>1292</v>
      </c>
      <c r="AH146" t="s">
        <v>1129</v>
      </c>
      <c r="AI146" t="s">
        <v>1323</v>
      </c>
      <c r="AJ146" t="s">
        <v>861</v>
      </c>
      <c r="AK146" t="s">
        <v>880</v>
      </c>
      <c r="AL146" t="s">
        <v>913</v>
      </c>
      <c r="AM146" t="s">
        <v>986</v>
      </c>
      <c r="AN146" t="s">
        <v>986</v>
      </c>
      <c r="AO146" t="s">
        <v>2185</v>
      </c>
      <c r="AP146" t="s">
        <v>1323</v>
      </c>
      <c r="AQ146" t="s">
        <v>1234</v>
      </c>
      <c r="AR146" t="s">
        <v>1292</v>
      </c>
      <c r="AS146" t="s">
        <v>1234</v>
      </c>
      <c r="AT146" t="s">
        <v>1234</v>
      </c>
      <c r="AU146" t="s">
        <v>886</v>
      </c>
      <c r="AW146" t="s">
        <v>1234</v>
      </c>
      <c r="AX146" t="s">
        <v>1234</v>
      </c>
      <c r="AZ146" t="s">
        <v>999</v>
      </c>
      <c r="BA146" t="s">
        <v>936</v>
      </c>
      <c r="BB146" t="s">
        <v>936</v>
      </c>
      <c r="BK146" t="s">
        <v>1134</v>
      </c>
      <c r="BL146">
        <v>326</v>
      </c>
      <c r="BM146">
        <v>61.41</v>
      </c>
      <c r="BN146">
        <v>10341</v>
      </c>
      <c r="BO146">
        <v>23923.3</v>
      </c>
      <c r="BP146">
        <v>23923.3</v>
      </c>
      <c r="BQ146">
        <v>25720.42</v>
      </c>
      <c r="BR146">
        <v>1797.11</v>
      </c>
      <c r="BS146" t="s">
        <v>892</v>
      </c>
      <c r="BT146">
        <v>1794</v>
      </c>
      <c r="BV146" t="s">
        <v>1325</v>
      </c>
      <c r="BW146" t="s">
        <v>1326</v>
      </c>
      <c r="BX146" t="s">
        <v>895</v>
      </c>
      <c r="BY146" t="s">
        <v>2186</v>
      </c>
      <c r="CD146" t="s">
        <v>2187</v>
      </c>
      <c r="CG146" t="s">
        <v>2188</v>
      </c>
      <c r="CH146" t="s">
        <v>994</v>
      </c>
      <c r="CI146" t="s">
        <v>2188</v>
      </c>
      <c r="CJ146" t="s">
        <v>2188</v>
      </c>
      <c r="CM146" t="s">
        <v>1044</v>
      </c>
      <c r="CN146" t="s">
        <v>1045</v>
      </c>
      <c r="CO146" t="s">
        <v>2189</v>
      </c>
      <c r="CP146" t="s">
        <v>1181</v>
      </c>
      <c r="CT146" t="s">
        <v>901</v>
      </c>
    </row>
    <row r="147" spans="1:98" x14ac:dyDescent="0.15">
      <c r="A147" t="s">
        <v>861</v>
      </c>
      <c r="B147" t="s">
        <v>862</v>
      </c>
      <c r="C147" t="s">
        <v>329</v>
      </c>
      <c r="D147" t="s">
        <v>329</v>
      </c>
      <c r="E147" t="s">
        <v>329</v>
      </c>
      <c r="F147" t="s">
        <v>863</v>
      </c>
      <c r="G147" t="s">
        <v>1025</v>
      </c>
      <c r="H147" t="s">
        <v>1026</v>
      </c>
      <c r="I147" t="s">
        <v>328</v>
      </c>
      <c r="J147" t="s">
        <v>2190</v>
      </c>
      <c r="K147" t="s">
        <v>977</v>
      </c>
      <c r="L147" t="s">
        <v>868</v>
      </c>
      <c r="N147" t="s">
        <v>861</v>
      </c>
      <c r="O147">
        <v>0</v>
      </c>
      <c r="P147" t="s">
        <v>869</v>
      </c>
      <c r="Q147" t="s">
        <v>36</v>
      </c>
      <c r="R147" t="s">
        <v>870</v>
      </c>
      <c r="S147" t="s">
        <v>979</v>
      </c>
      <c r="T147" t="s">
        <v>1212</v>
      </c>
      <c r="U147" t="s">
        <v>1212</v>
      </c>
      <c r="V147" t="s">
        <v>1181</v>
      </c>
      <c r="W147" t="s">
        <v>1320</v>
      </c>
      <c r="Y147" t="s">
        <v>874</v>
      </c>
      <c r="Z147" t="s">
        <v>861</v>
      </c>
      <c r="AA147" t="s">
        <v>958</v>
      </c>
      <c r="AB147" t="s">
        <v>2191</v>
      </c>
      <c r="AF147" t="s">
        <v>2192</v>
      </c>
      <c r="AG147" t="s">
        <v>1212</v>
      </c>
      <c r="AH147" t="s">
        <v>1129</v>
      </c>
      <c r="AI147" t="s">
        <v>1323</v>
      </c>
      <c r="AJ147" t="s">
        <v>861</v>
      </c>
      <c r="AK147" t="s">
        <v>880</v>
      </c>
      <c r="AL147" t="s">
        <v>913</v>
      </c>
      <c r="AM147" t="s">
        <v>986</v>
      </c>
      <c r="AN147" t="s">
        <v>986</v>
      </c>
      <c r="AO147" t="s">
        <v>2193</v>
      </c>
      <c r="AP147" t="s">
        <v>1323</v>
      </c>
      <c r="AQ147" t="s">
        <v>1240</v>
      </c>
      <c r="AR147" t="s">
        <v>1234</v>
      </c>
      <c r="AS147" t="s">
        <v>1240</v>
      </c>
      <c r="AT147" t="s">
        <v>1240</v>
      </c>
      <c r="AU147" t="s">
        <v>886</v>
      </c>
      <c r="AW147" t="s">
        <v>1240</v>
      </c>
      <c r="AX147" t="s">
        <v>1240</v>
      </c>
      <c r="AZ147" t="s">
        <v>1226</v>
      </c>
      <c r="BA147" t="s">
        <v>1234</v>
      </c>
      <c r="BB147" t="s">
        <v>1128</v>
      </c>
      <c r="BK147" t="s">
        <v>1134</v>
      </c>
      <c r="BL147">
        <v>708</v>
      </c>
      <c r="BM147">
        <v>64.180000000000007</v>
      </c>
      <c r="BN147">
        <v>7187.7</v>
      </c>
      <c r="BO147">
        <v>17191.14</v>
      </c>
      <c r="BP147">
        <v>17191.14</v>
      </c>
      <c r="BQ147">
        <v>18987.419999999998</v>
      </c>
      <c r="BR147">
        <v>1796.3</v>
      </c>
      <c r="BS147" t="s">
        <v>892</v>
      </c>
      <c r="BT147">
        <v>1794</v>
      </c>
      <c r="BV147" t="s">
        <v>1325</v>
      </c>
      <c r="BW147" t="s">
        <v>1326</v>
      </c>
      <c r="BX147" t="s">
        <v>895</v>
      </c>
      <c r="BY147" t="s">
        <v>2194</v>
      </c>
      <c r="CD147" t="s">
        <v>2195</v>
      </c>
      <c r="CG147" t="s">
        <v>2196</v>
      </c>
      <c r="CH147" t="s">
        <v>994</v>
      </c>
      <c r="CI147" t="s">
        <v>2196</v>
      </c>
      <c r="CJ147" t="s">
        <v>2196</v>
      </c>
      <c r="CM147" t="s">
        <v>1044</v>
      </c>
      <c r="CN147" t="s">
        <v>1045</v>
      </c>
      <c r="CO147" t="s">
        <v>2197</v>
      </c>
      <c r="CP147" t="s">
        <v>1181</v>
      </c>
      <c r="CT147" t="s">
        <v>901</v>
      </c>
    </row>
    <row r="148" spans="1:98" x14ac:dyDescent="0.15">
      <c r="A148" t="s">
        <v>861</v>
      </c>
      <c r="B148" t="s">
        <v>862</v>
      </c>
      <c r="C148" t="s">
        <v>374</v>
      </c>
      <c r="D148" t="s">
        <v>374</v>
      </c>
      <c r="E148" t="s">
        <v>374</v>
      </c>
      <c r="F148" t="s">
        <v>863</v>
      </c>
      <c r="G148" t="s">
        <v>1025</v>
      </c>
      <c r="H148" t="s">
        <v>1026</v>
      </c>
      <c r="I148" t="s">
        <v>373</v>
      </c>
      <c r="J148" t="s">
        <v>2198</v>
      </c>
      <c r="K148" t="s">
        <v>977</v>
      </c>
      <c r="L148" t="s">
        <v>868</v>
      </c>
      <c r="N148" t="s">
        <v>861</v>
      </c>
      <c r="O148">
        <v>0</v>
      </c>
      <c r="P148" t="s">
        <v>869</v>
      </c>
      <c r="Q148" t="s">
        <v>36</v>
      </c>
      <c r="R148" t="s">
        <v>870</v>
      </c>
      <c r="S148" t="s">
        <v>979</v>
      </c>
      <c r="T148" t="s">
        <v>1212</v>
      </c>
      <c r="U148" t="s">
        <v>1212</v>
      </c>
      <c r="V148" t="s">
        <v>1181</v>
      </c>
      <c r="W148" t="s">
        <v>1320</v>
      </c>
      <c r="Y148" t="s">
        <v>874</v>
      </c>
      <c r="Z148" t="s">
        <v>861</v>
      </c>
      <c r="AA148" t="s">
        <v>958</v>
      </c>
      <c r="AB148" t="s">
        <v>2199</v>
      </c>
      <c r="AF148" t="s">
        <v>1322</v>
      </c>
      <c r="AG148" t="s">
        <v>1292</v>
      </c>
      <c r="AH148" t="s">
        <v>1129</v>
      </c>
      <c r="AI148" t="s">
        <v>1030</v>
      </c>
      <c r="AJ148" t="s">
        <v>861</v>
      </c>
      <c r="AK148" t="s">
        <v>880</v>
      </c>
      <c r="AL148" t="s">
        <v>913</v>
      </c>
      <c r="AM148" t="s">
        <v>986</v>
      </c>
      <c r="AN148" t="s">
        <v>986</v>
      </c>
      <c r="AO148" t="s">
        <v>2200</v>
      </c>
      <c r="AP148" t="s">
        <v>1030</v>
      </c>
      <c r="AQ148" t="s">
        <v>1292</v>
      </c>
      <c r="AR148" t="s">
        <v>936</v>
      </c>
      <c r="AS148" t="s">
        <v>1292</v>
      </c>
      <c r="AT148" t="s">
        <v>1240</v>
      </c>
      <c r="AU148" t="s">
        <v>886</v>
      </c>
      <c r="AW148" t="s">
        <v>1240</v>
      </c>
      <c r="AX148" t="s">
        <v>1240</v>
      </c>
      <c r="AZ148" t="s">
        <v>1264</v>
      </c>
      <c r="BA148" t="s">
        <v>1234</v>
      </c>
      <c r="BB148" t="s">
        <v>1250</v>
      </c>
      <c r="BK148" t="s">
        <v>1134</v>
      </c>
      <c r="BL148">
        <v>362</v>
      </c>
      <c r="BM148">
        <v>68.819999999999993</v>
      </c>
      <c r="BN148">
        <v>10136</v>
      </c>
      <c r="BO148">
        <v>15171.42</v>
      </c>
      <c r="BP148">
        <v>15171.42</v>
      </c>
      <c r="BQ148">
        <v>16967.46</v>
      </c>
      <c r="BR148">
        <v>1796.05</v>
      </c>
      <c r="BS148" t="s">
        <v>892</v>
      </c>
      <c r="BT148">
        <v>1794</v>
      </c>
      <c r="BV148" t="s">
        <v>1325</v>
      </c>
      <c r="BW148" t="s">
        <v>1326</v>
      </c>
      <c r="BX148" t="s">
        <v>895</v>
      </c>
      <c r="BY148" t="s">
        <v>2194</v>
      </c>
      <c r="CD148" t="s">
        <v>2195</v>
      </c>
      <c r="CG148" t="s">
        <v>2201</v>
      </c>
      <c r="CH148" t="s">
        <v>994</v>
      </c>
      <c r="CI148" t="s">
        <v>2201</v>
      </c>
      <c r="CJ148" t="s">
        <v>2201</v>
      </c>
      <c r="CM148" t="s">
        <v>1044</v>
      </c>
      <c r="CN148" t="s">
        <v>1045</v>
      </c>
      <c r="CO148" t="s">
        <v>2202</v>
      </c>
      <c r="CP148" t="s">
        <v>1181</v>
      </c>
      <c r="CT148" t="s">
        <v>901</v>
      </c>
    </row>
    <row r="149" spans="1:98" x14ac:dyDescent="0.15">
      <c r="A149" t="s">
        <v>861</v>
      </c>
      <c r="B149" t="s">
        <v>862</v>
      </c>
      <c r="C149" t="s">
        <v>425</v>
      </c>
      <c r="D149" t="s">
        <v>425</v>
      </c>
      <c r="E149" t="s">
        <v>425</v>
      </c>
      <c r="F149" t="s">
        <v>863</v>
      </c>
      <c r="G149" t="s">
        <v>1025</v>
      </c>
      <c r="H149" t="s">
        <v>1026</v>
      </c>
      <c r="I149" t="s">
        <v>424</v>
      </c>
      <c r="J149" t="s">
        <v>2203</v>
      </c>
      <c r="K149" t="s">
        <v>977</v>
      </c>
      <c r="L149" t="s">
        <v>868</v>
      </c>
      <c r="N149" t="s">
        <v>861</v>
      </c>
      <c r="O149">
        <v>0</v>
      </c>
      <c r="P149" t="s">
        <v>869</v>
      </c>
      <c r="Q149" t="s">
        <v>36</v>
      </c>
      <c r="R149" t="s">
        <v>870</v>
      </c>
      <c r="S149" t="s">
        <v>979</v>
      </c>
      <c r="T149" t="s">
        <v>1212</v>
      </c>
      <c r="U149" t="s">
        <v>1212</v>
      </c>
      <c r="V149" t="s">
        <v>1181</v>
      </c>
      <c r="W149" t="s">
        <v>1320</v>
      </c>
      <c r="Y149" t="s">
        <v>874</v>
      </c>
      <c r="Z149" t="s">
        <v>861</v>
      </c>
      <c r="AA149" t="s">
        <v>958</v>
      </c>
      <c r="AB149" t="s">
        <v>2204</v>
      </c>
      <c r="AF149" t="s">
        <v>1322</v>
      </c>
      <c r="AG149" t="s">
        <v>1212</v>
      </c>
      <c r="AH149" t="s">
        <v>1129</v>
      </c>
      <c r="AI149" t="s">
        <v>1323</v>
      </c>
      <c r="AJ149" t="s">
        <v>861</v>
      </c>
      <c r="AK149" t="s">
        <v>880</v>
      </c>
      <c r="AL149" t="s">
        <v>1860</v>
      </c>
      <c r="AM149" t="s">
        <v>986</v>
      </c>
      <c r="AN149" t="s">
        <v>986</v>
      </c>
      <c r="AO149" t="s">
        <v>2205</v>
      </c>
      <c r="AP149" t="s">
        <v>1323</v>
      </c>
      <c r="AQ149" t="s">
        <v>1292</v>
      </c>
      <c r="AR149" t="s">
        <v>1292</v>
      </c>
      <c r="AS149" t="s">
        <v>1292</v>
      </c>
      <c r="AT149" t="s">
        <v>1240</v>
      </c>
      <c r="AU149" t="s">
        <v>886</v>
      </c>
      <c r="AW149" t="s">
        <v>1240</v>
      </c>
      <c r="AX149" t="s">
        <v>1240</v>
      </c>
      <c r="AZ149" t="s">
        <v>999</v>
      </c>
      <c r="BA149" t="s">
        <v>1234</v>
      </c>
      <c r="BB149" t="s">
        <v>1464</v>
      </c>
      <c r="BK149" t="s">
        <v>1134</v>
      </c>
      <c r="BL149">
        <v>435</v>
      </c>
      <c r="BM149">
        <v>64.400000000000006</v>
      </c>
      <c r="BN149">
        <v>5328.5</v>
      </c>
      <c r="BO149">
        <v>13688.55</v>
      </c>
      <c r="BP149">
        <v>13688.55</v>
      </c>
      <c r="BQ149">
        <v>15484.43</v>
      </c>
      <c r="BR149">
        <v>1795.87</v>
      </c>
      <c r="BS149" t="s">
        <v>892</v>
      </c>
      <c r="BT149">
        <v>1794</v>
      </c>
      <c r="BV149" t="s">
        <v>1325</v>
      </c>
      <c r="BW149" t="s">
        <v>1326</v>
      </c>
      <c r="BX149" t="s">
        <v>895</v>
      </c>
      <c r="BY149" t="s">
        <v>2194</v>
      </c>
      <c r="CD149" t="s">
        <v>2206</v>
      </c>
      <c r="CG149" t="s">
        <v>2207</v>
      </c>
      <c r="CH149" t="s">
        <v>994</v>
      </c>
      <c r="CI149" t="s">
        <v>2207</v>
      </c>
      <c r="CJ149" t="s">
        <v>2207</v>
      </c>
      <c r="CM149" t="s">
        <v>1044</v>
      </c>
      <c r="CN149" t="s">
        <v>1045</v>
      </c>
      <c r="CO149" t="s">
        <v>2208</v>
      </c>
      <c r="CP149" t="s">
        <v>1181</v>
      </c>
      <c r="CT149" t="s">
        <v>901</v>
      </c>
    </row>
    <row r="150" spans="1:98" x14ac:dyDescent="0.15">
      <c r="A150" t="s">
        <v>861</v>
      </c>
      <c r="B150" t="s">
        <v>862</v>
      </c>
      <c r="C150" t="s">
        <v>473</v>
      </c>
      <c r="D150" t="s">
        <v>473</v>
      </c>
      <c r="E150" t="s">
        <v>473</v>
      </c>
      <c r="F150" t="s">
        <v>863</v>
      </c>
      <c r="G150" t="s">
        <v>1025</v>
      </c>
      <c r="H150" t="s">
        <v>1026</v>
      </c>
      <c r="I150" t="s">
        <v>472</v>
      </c>
      <c r="J150" t="s">
        <v>2209</v>
      </c>
      <c r="K150" t="s">
        <v>977</v>
      </c>
      <c r="L150" t="s">
        <v>868</v>
      </c>
      <c r="N150" t="s">
        <v>861</v>
      </c>
      <c r="O150">
        <v>0</v>
      </c>
      <c r="P150" t="s">
        <v>869</v>
      </c>
      <c r="Q150" t="s">
        <v>36</v>
      </c>
      <c r="R150" t="s">
        <v>870</v>
      </c>
      <c r="S150" t="s">
        <v>979</v>
      </c>
      <c r="T150" t="s">
        <v>1212</v>
      </c>
      <c r="U150" t="s">
        <v>1212</v>
      </c>
      <c r="V150" t="s">
        <v>1181</v>
      </c>
      <c r="W150" t="s">
        <v>1320</v>
      </c>
      <c r="Y150" t="s">
        <v>874</v>
      </c>
      <c r="Z150" t="s">
        <v>861</v>
      </c>
      <c r="AA150" t="s">
        <v>958</v>
      </c>
      <c r="AB150" t="s">
        <v>2191</v>
      </c>
      <c r="AD150" t="s">
        <v>2210</v>
      </c>
      <c r="AF150" t="s">
        <v>1322</v>
      </c>
      <c r="AG150" t="s">
        <v>1212</v>
      </c>
      <c r="AH150" t="s">
        <v>1129</v>
      </c>
      <c r="AI150" t="s">
        <v>1323</v>
      </c>
      <c r="AJ150" t="s">
        <v>861</v>
      </c>
      <c r="AK150" t="s">
        <v>880</v>
      </c>
      <c r="AL150" t="s">
        <v>1860</v>
      </c>
      <c r="AM150" t="s">
        <v>986</v>
      </c>
      <c r="AN150" t="s">
        <v>986</v>
      </c>
      <c r="AO150" t="s">
        <v>2211</v>
      </c>
      <c r="AP150" t="s">
        <v>1323</v>
      </c>
      <c r="AQ150" t="s">
        <v>1240</v>
      </c>
      <c r="AR150" t="s">
        <v>936</v>
      </c>
      <c r="AS150" t="s">
        <v>1240</v>
      </c>
      <c r="AT150" t="s">
        <v>1240</v>
      </c>
      <c r="AU150" t="s">
        <v>886</v>
      </c>
      <c r="AW150" t="s">
        <v>1240</v>
      </c>
      <c r="AX150" t="s">
        <v>1240</v>
      </c>
      <c r="AZ150" t="s">
        <v>1264</v>
      </c>
      <c r="BA150" t="s">
        <v>1234</v>
      </c>
      <c r="BB150" t="s">
        <v>1128</v>
      </c>
      <c r="BK150" t="s">
        <v>1134</v>
      </c>
      <c r="BL150">
        <v>1187</v>
      </c>
      <c r="BM150">
        <v>64.53</v>
      </c>
      <c r="BN150">
        <v>9718</v>
      </c>
      <c r="BO150">
        <v>22828.33</v>
      </c>
      <c r="BP150">
        <v>22828.33</v>
      </c>
      <c r="BQ150">
        <v>24625.31</v>
      </c>
      <c r="BR150">
        <v>1796.98</v>
      </c>
      <c r="BS150" t="s">
        <v>892</v>
      </c>
      <c r="BT150">
        <v>1794</v>
      </c>
      <c r="BV150" t="s">
        <v>1325</v>
      </c>
      <c r="BW150" t="s">
        <v>1326</v>
      </c>
      <c r="BX150" t="s">
        <v>895</v>
      </c>
      <c r="BY150" t="s">
        <v>2194</v>
      </c>
      <c r="CD150" t="s">
        <v>2212</v>
      </c>
      <c r="CG150" t="s">
        <v>2213</v>
      </c>
      <c r="CH150" t="s">
        <v>994</v>
      </c>
      <c r="CI150" t="s">
        <v>2213</v>
      </c>
      <c r="CJ150" t="s">
        <v>2213</v>
      </c>
      <c r="CM150" t="s">
        <v>1044</v>
      </c>
      <c r="CN150" t="s">
        <v>1045</v>
      </c>
      <c r="CO150" t="s">
        <v>2214</v>
      </c>
      <c r="CP150" t="s">
        <v>1181</v>
      </c>
      <c r="CT150" t="s">
        <v>901</v>
      </c>
    </row>
    <row r="151" spans="1:98" x14ac:dyDescent="0.15">
      <c r="A151" t="s">
        <v>861</v>
      </c>
      <c r="B151" t="s">
        <v>862</v>
      </c>
      <c r="C151" t="s">
        <v>421</v>
      </c>
      <c r="D151" t="s">
        <v>421</v>
      </c>
      <c r="E151" t="s">
        <v>421</v>
      </c>
      <c r="F151" t="s">
        <v>863</v>
      </c>
      <c r="G151" t="s">
        <v>864</v>
      </c>
      <c r="H151" t="s">
        <v>1026</v>
      </c>
      <c r="I151" t="s">
        <v>420</v>
      </c>
      <c r="J151" t="s">
        <v>2215</v>
      </c>
      <c r="K151" t="s">
        <v>867</v>
      </c>
      <c r="L151" t="s">
        <v>868</v>
      </c>
      <c r="N151" t="s">
        <v>861</v>
      </c>
      <c r="O151">
        <v>0</v>
      </c>
      <c r="P151" t="s">
        <v>1142</v>
      </c>
      <c r="Q151" t="s">
        <v>19</v>
      </c>
      <c r="R151" t="s">
        <v>919</v>
      </c>
      <c r="S151" t="s">
        <v>979</v>
      </c>
      <c r="T151" t="s">
        <v>1331</v>
      </c>
      <c r="U151" t="s">
        <v>1331</v>
      </c>
      <c r="V151" t="s">
        <v>2216</v>
      </c>
      <c r="W151" t="s">
        <v>1332</v>
      </c>
      <c r="Y151" t="s">
        <v>874</v>
      </c>
      <c r="Z151" t="s">
        <v>861</v>
      </c>
      <c r="AA151" t="s">
        <v>958</v>
      </c>
      <c r="AB151" t="s">
        <v>2217</v>
      </c>
      <c r="AF151" t="s">
        <v>1335</v>
      </c>
      <c r="AG151" t="s">
        <v>2218</v>
      </c>
      <c r="AH151" t="s">
        <v>1362</v>
      </c>
      <c r="AJ151" t="s">
        <v>861</v>
      </c>
      <c r="AK151" t="s">
        <v>880</v>
      </c>
      <c r="AL151" t="s">
        <v>913</v>
      </c>
      <c r="AM151" t="s">
        <v>986</v>
      </c>
      <c r="AN151" t="s">
        <v>986</v>
      </c>
      <c r="AO151" t="s">
        <v>2219</v>
      </c>
      <c r="AP151" t="s">
        <v>1252</v>
      </c>
      <c r="AQ151" t="s">
        <v>1340</v>
      </c>
      <c r="AR151" t="s">
        <v>2220</v>
      </c>
      <c r="AS151" t="s">
        <v>1340</v>
      </c>
      <c r="AT151" t="s">
        <v>1340</v>
      </c>
      <c r="AU151" t="s">
        <v>886</v>
      </c>
      <c r="AW151" t="s">
        <v>1340</v>
      </c>
      <c r="AX151" t="s">
        <v>1340</v>
      </c>
      <c r="AZ151" t="s">
        <v>1267</v>
      </c>
      <c r="BA151" t="s">
        <v>1260</v>
      </c>
      <c r="BB151" t="s">
        <v>2221</v>
      </c>
      <c r="BK151" t="s">
        <v>891</v>
      </c>
      <c r="BL151">
        <v>290</v>
      </c>
      <c r="BM151">
        <v>70.09</v>
      </c>
      <c r="BN151">
        <v>14040</v>
      </c>
      <c r="BO151">
        <v>31388.5</v>
      </c>
      <c r="BP151">
        <v>31388.5</v>
      </c>
      <c r="BQ151">
        <v>31388.5</v>
      </c>
      <c r="BR151">
        <v>0</v>
      </c>
      <c r="BS151" t="s">
        <v>892</v>
      </c>
      <c r="BT151">
        <v>1639</v>
      </c>
      <c r="BV151" t="s">
        <v>2222</v>
      </c>
      <c r="BW151" t="s">
        <v>1877</v>
      </c>
      <c r="BX151" t="s">
        <v>895</v>
      </c>
      <c r="BY151" t="s">
        <v>1626</v>
      </c>
      <c r="CD151" t="s">
        <v>2223</v>
      </c>
      <c r="CG151" t="s">
        <v>2215</v>
      </c>
      <c r="CH151" t="s">
        <v>898</v>
      </c>
      <c r="CI151" t="s">
        <v>2224</v>
      </c>
      <c r="CJ151" t="s">
        <v>2224</v>
      </c>
      <c r="CM151" t="s">
        <v>1044</v>
      </c>
      <c r="CN151" t="s">
        <v>1045</v>
      </c>
      <c r="CO151" t="s">
        <v>2225</v>
      </c>
      <c r="CP151" t="s">
        <v>1013</v>
      </c>
      <c r="CT151" t="s">
        <v>901</v>
      </c>
    </row>
    <row r="152" spans="1:98" x14ac:dyDescent="0.15">
      <c r="A152" t="s">
        <v>861</v>
      </c>
      <c r="B152" t="s">
        <v>862</v>
      </c>
      <c r="C152" t="s">
        <v>449</v>
      </c>
      <c r="D152" t="s">
        <v>449</v>
      </c>
      <c r="E152" t="s">
        <v>449</v>
      </c>
      <c r="F152" t="s">
        <v>863</v>
      </c>
      <c r="G152" t="s">
        <v>864</v>
      </c>
      <c r="H152" t="s">
        <v>865</v>
      </c>
      <c r="I152" t="s">
        <v>448</v>
      </c>
      <c r="J152" t="s">
        <v>2226</v>
      </c>
      <c r="K152" t="s">
        <v>977</v>
      </c>
      <c r="L152" t="s">
        <v>868</v>
      </c>
      <c r="N152" t="s">
        <v>861</v>
      </c>
      <c r="O152">
        <v>0</v>
      </c>
      <c r="P152" t="s">
        <v>2227</v>
      </c>
      <c r="Q152" t="s">
        <v>36</v>
      </c>
      <c r="R152" t="s">
        <v>2146</v>
      </c>
      <c r="S152" t="s">
        <v>979</v>
      </c>
      <c r="T152" t="s">
        <v>980</v>
      </c>
      <c r="U152" t="s">
        <v>980</v>
      </c>
      <c r="V152" t="s">
        <v>981</v>
      </c>
      <c r="Y152" t="s">
        <v>874</v>
      </c>
      <c r="Z152" t="s">
        <v>861</v>
      </c>
      <c r="AA152" t="s">
        <v>958</v>
      </c>
      <c r="AB152" t="s">
        <v>2228</v>
      </c>
      <c r="AD152" t="s">
        <v>2148</v>
      </c>
      <c r="AE152" t="s">
        <v>2229</v>
      </c>
      <c r="AF152" t="s">
        <v>983</v>
      </c>
      <c r="AG152" t="s">
        <v>888</v>
      </c>
      <c r="AH152" t="s">
        <v>984</v>
      </c>
      <c r="AI152" t="s">
        <v>2230</v>
      </c>
      <c r="AJ152" t="s">
        <v>861</v>
      </c>
      <c r="AK152" t="s">
        <v>880</v>
      </c>
      <c r="AL152" t="s">
        <v>913</v>
      </c>
      <c r="AM152" t="s">
        <v>986</v>
      </c>
      <c r="AP152" t="s">
        <v>1002</v>
      </c>
      <c r="AQ152" t="s">
        <v>890</v>
      </c>
      <c r="AR152" t="s">
        <v>2230</v>
      </c>
      <c r="AS152" t="s">
        <v>890</v>
      </c>
      <c r="AT152" t="s">
        <v>890</v>
      </c>
      <c r="AU152" t="s">
        <v>886</v>
      </c>
      <c r="AW152" t="s">
        <v>890</v>
      </c>
      <c r="AX152" t="s">
        <v>890</v>
      </c>
      <c r="AZ152" t="s">
        <v>1373</v>
      </c>
      <c r="BA152" t="s">
        <v>988</v>
      </c>
      <c r="BK152" t="s">
        <v>891</v>
      </c>
      <c r="BL152">
        <v>141</v>
      </c>
      <c r="BM152">
        <v>64.94</v>
      </c>
      <c r="BN152">
        <v>6748.1</v>
      </c>
      <c r="BO152">
        <v>19460.34</v>
      </c>
      <c r="BP152">
        <v>19460.34</v>
      </c>
      <c r="BQ152">
        <v>19460.34</v>
      </c>
      <c r="BR152">
        <v>0</v>
      </c>
      <c r="BS152" t="s">
        <v>892</v>
      </c>
      <c r="BT152">
        <v>2064</v>
      </c>
      <c r="BV152" t="s">
        <v>2231</v>
      </c>
      <c r="BW152" t="s">
        <v>2232</v>
      </c>
      <c r="BX152" t="s">
        <v>895</v>
      </c>
      <c r="BY152" t="s">
        <v>2153</v>
      </c>
      <c r="CG152" t="s">
        <v>2233</v>
      </c>
      <c r="CH152" t="s">
        <v>994</v>
      </c>
      <c r="CI152" t="s">
        <v>2233</v>
      </c>
      <c r="CJ152" t="s">
        <v>2233</v>
      </c>
      <c r="CP152" t="s">
        <v>981</v>
      </c>
      <c r="CT152" t="s">
        <v>2155</v>
      </c>
    </row>
    <row r="153" spans="1:98" x14ac:dyDescent="0.15">
      <c r="A153" t="s">
        <v>861</v>
      </c>
      <c r="B153" t="s">
        <v>862</v>
      </c>
      <c r="C153" t="s">
        <v>589</v>
      </c>
      <c r="D153" t="s">
        <v>589</v>
      </c>
      <c r="E153" t="s">
        <v>589</v>
      </c>
      <c r="F153" t="s">
        <v>863</v>
      </c>
      <c r="G153" t="s">
        <v>864</v>
      </c>
      <c r="H153" t="s">
        <v>916</v>
      </c>
      <c r="I153" t="s">
        <v>588</v>
      </c>
      <c r="J153" t="s">
        <v>2234</v>
      </c>
      <c r="K153" t="s">
        <v>977</v>
      </c>
      <c r="L153" t="s">
        <v>868</v>
      </c>
      <c r="N153" t="s">
        <v>861</v>
      </c>
      <c r="O153">
        <v>0</v>
      </c>
      <c r="P153" t="s">
        <v>2227</v>
      </c>
      <c r="Q153" t="s">
        <v>15</v>
      </c>
      <c r="R153" t="s">
        <v>2146</v>
      </c>
      <c r="S153" t="s">
        <v>954</v>
      </c>
      <c r="T153" t="s">
        <v>1278</v>
      </c>
      <c r="U153" t="s">
        <v>1278</v>
      </c>
      <c r="V153" t="s">
        <v>2216</v>
      </c>
      <c r="W153" t="s">
        <v>942</v>
      </c>
      <c r="Y153" t="s">
        <v>874</v>
      </c>
      <c r="Z153" t="s">
        <v>861</v>
      </c>
      <c r="AA153" t="s">
        <v>958</v>
      </c>
      <c r="AB153" t="s">
        <v>2235</v>
      </c>
      <c r="AD153" t="s">
        <v>2148</v>
      </c>
      <c r="AE153" t="s">
        <v>2236</v>
      </c>
      <c r="AJ153" t="s">
        <v>861</v>
      </c>
      <c r="AK153" t="s">
        <v>880</v>
      </c>
      <c r="AP153" t="s">
        <v>1266</v>
      </c>
      <c r="AZ153" t="s">
        <v>2150</v>
      </c>
      <c r="BK153" t="s">
        <v>891</v>
      </c>
      <c r="BL153">
        <v>141</v>
      </c>
      <c r="BM153">
        <v>65.31</v>
      </c>
      <c r="BN153">
        <v>7143.3</v>
      </c>
      <c r="BO153">
        <v>19460.34</v>
      </c>
      <c r="BP153">
        <v>19460.34</v>
      </c>
      <c r="BQ153">
        <v>19460.34</v>
      </c>
      <c r="BR153">
        <v>0</v>
      </c>
      <c r="BS153" t="s">
        <v>892</v>
      </c>
      <c r="BT153">
        <v>3206</v>
      </c>
      <c r="BV153" t="s">
        <v>2231</v>
      </c>
      <c r="BW153" t="s">
        <v>2237</v>
      </c>
      <c r="BX153" t="s">
        <v>895</v>
      </c>
      <c r="BY153" t="s">
        <v>2238</v>
      </c>
      <c r="CG153" t="s">
        <v>2239</v>
      </c>
      <c r="CH153" t="s">
        <v>994</v>
      </c>
      <c r="CI153" t="s">
        <v>2239</v>
      </c>
      <c r="CJ153" t="s">
        <v>2239</v>
      </c>
      <c r="CP153" t="s">
        <v>1240</v>
      </c>
      <c r="CT153" t="s">
        <v>2155</v>
      </c>
    </row>
    <row r="154" spans="1:98" x14ac:dyDescent="0.15">
      <c r="A154" t="s">
        <v>861</v>
      </c>
      <c r="B154" t="s">
        <v>862</v>
      </c>
      <c r="C154" t="s">
        <v>447</v>
      </c>
      <c r="D154" t="s">
        <v>447</v>
      </c>
      <c r="E154" t="s">
        <v>447</v>
      </c>
      <c r="F154" t="s">
        <v>863</v>
      </c>
      <c r="G154" t="s">
        <v>864</v>
      </c>
      <c r="H154" t="s">
        <v>865</v>
      </c>
      <c r="I154" t="s">
        <v>446</v>
      </c>
      <c r="J154" t="s">
        <v>2240</v>
      </c>
      <c r="K154" t="s">
        <v>977</v>
      </c>
      <c r="L154" t="s">
        <v>868</v>
      </c>
      <c r="N154" t="s">
        <v>861</v>
      </c>
      <c r="O154">
        <v>0</v>
      </c>
      <c r="P154" t="s">
        <v>2227</v>
      </c>
      <c r="Q154" t="s">
        <v>36</v>
      </c>
      <c r="R154" t="s">
        <v>2146</v>
      </c>
      <c r="S154" t="s">
        <v>979</v>
      </c>
      <c r="T154" t="s">
        <v>980</v>
      </c>
      <c r="U154" t="s">
        <v>980</v>
      </c>
      <c r="V154" t="s">
        <v>981</v>
      </c>
      <c r="Y154" t="s">
        <v>874</v>
      </c>
      <c r="Z154" t="s">
        <v>861</v>
      </c>
      <c r="AA154" t="s">
        <v>958</v>
      </c>
      <c r="AB154" t="s">
        <v>2241</v>
      </c>
      <c r="AD154" t="s">
        <v>2148</v>
      </c>
      <c r="AE154" t="s">
        <v>2229</v>
      </c>
      <c r="AF154" t="s">
        <v>983</v>
      </c>
      <c r="AG154" t="s">
        <v>1418</v>
      </c>
      <c r="AH154" t="s">
        <v>984</v>
      </c>
      <c r="AI154" t="s">
        <v>2242</v>
      </c>
      <c r="AJ154" t="s">
        <v>861</v>
      </c>
      <c r="AK154" t="s">
        <v>880</v>
      </c>
      <c r="AL154" t="s">
        <v>913</v>
      </c>
      <c r="AM154" t="s">
        <v>986</v>
      </c>
      <c r="AP154" t="s">
        <v>1002</v>
      </c>
      <c r="AQ154" t="s">
        <v>890</v>
      </c>
      <c r="AR154" t="s">
        <v>2242</v>
      </c>
      <c r="AS154" t="s">
        <v>890</v>
      </c>
      <c r="AT154" t="s">
        <v>890</v>
      </c>
      <c r="AU154" t="s">
        <v>886</v>
      </c>
      <c r="AW154" t="s">
        <v>890</v>
      </c>
      <c r="AX154" t="s">
        <v>890</v>
      </c>
      <c r="AZ154" t="s">
        <v>1373</v>
      </c>
      <c r="BA154" t="s">
        <v>988</v>
      </c>
      <c r="BK154" t="s">
        <v>891</v>
      </c>
      <c r="BL154">
        <v>455</v>
      </c>
      <c r="BM154">
        <v>65.86</v>
      </c>
      <c r="BN154">
        <v>10420</v>
      </c>
      <c r="BO154">
        <v>23170</v>
      </c>
      <c r="BP154">
        <v>23170</v>
      </c>
      <c r="BQ154">
        <v>23170</v>
      </c>
      <c r="BR154">
        <v>0</v>
      </c>
      <c r="BS154" t="s">
        <v>892</v>
      </c>
      <c r="BT154">
        <v>2064</v>
      </c>
      <c r="BV154" t="s">
        <v>2231</v>
      </c>
      <c r="BW154" t="s">
        <v>2232</v>
      </c>
      <c r="BX154" t="s">
        <v>895</v>
      </c>
      <c r="BY154" t="s">
        <v>2243</v>
      </c>
      <c r="CG154" t="s">
        <v>2244</v>
      </c>
      <c r="CH154" t="s">
        <v>994</v>
      </c>
      <c r="CI154" t="s">
        <v>2244</v>
      </c>
      <c r="CJ154" t="s">
        <v>2244</v>
      </c>
      <c r="CP154" t="s">
        <v>981</v>
      </c>
      <c r="CT154" t="s">
        <v>2155</v>
      </c>
    </row>
    <row r="155" spans="1:98" x14ac:dyDescent="0.15">
      <c r="A155" t="s">
        <v>861</v>
      </c>
      <c r="B155" t="s">
        <v>862</v>
      </c>
      <c r="C155" t="s">
        <v>560</v>
      </c>
      <c r="D155" t="s">
        <v>560</v>
      </c>
      <c r="E155" t="s">
        <v>560</v>
      </c>
      <c r="F155" t="s">
        <v>863</v>
      </c>
      <c r="G155" t="s">
        <v>864</v>
      </c>
      <c r="H155" t="s">
        <v>916</v>
      </c>
      <c r="I155" t="s">
        <v>559</v>
      </c>
      <c r="J155" t="s">
        <v>2245</v>
      </c>
      <c r="K155" t="s">
        <v>977</v>
      </c>
      <c r="L155" t="s">
        <v>868</v>
      </c>
      <c r="N155" t="s">
        <v>861</v>
      </c>
      <c r="O155">
        <v>0</v>
      </c>
      <c r="P155" t="s">
        <v>2227</v>
      </c>
      <c r="Q155" t="s">
        <v>15</v>
      </c>
      <c r="R155" t="s">
        <v>2146</v>
      </c>
      <c r="S155" t="s">
        <v>954</v>
      </c>
      <c r="T155" t="s">
        <v>1278</v>
      </c>
      <c r="U155" t="s">
        <v>1278</v>
      </c>
      <c r="V155" t="s">
        <v>1356</v>
      </c>
      <c r="W155" t="s">
        <v>942</v>
      </c>
      <c r="Y155" t="s">
        <v>874</v>
      </c>
      <c r="Z155" t="s">
        <v>861</v>
      </c>
      <c r="AA155" t="s">
        <v>958</v>
      </c>
      <c r="AB155" t="s">
        <v>2246</v>
      </c>
      <c r="AD155" t="s">
        <v>2148</v>
      </c>
      <c r="AE155" t="s">
        <v>2236</v>
      </c>
      <c r="AJ155" t="s">
        <v>861</v>
      </c>
      <c r="AK155" t="s">
        <v>880</v>
      </c>
      <c r="AP155" t="s">
        <v>1266</v>
      </c>
      <c r="AZ155" t="s">
        <v>2150</v>
      </c>
      <c r="BK155" t="s">
        <v>891</v>
      </c>
      <c r="BL155">
        <v>280</v>
      </c>
      <c r="BM155">
        <v>68.400000000000006</v>
      </c>
      <c r="BN155">
        <v>8120</v>
      </c>
      <c r="BO155">
        <v>19040</v>
      </c>
      <c r="BP155">
        <v>19040</v>
      </c>
      <c r="BQ155">
        <v>19040</v>
      </c>
      <c r="BR155">
        <v>0</v>
      </c>
      <c r="BS155" t="s">
        <v>892</v>
      </c>
      <c r="BT155">
        <v>3206</v>
      </c>
      <c r="BV155" t="s">
        <v>2231</v>
      </c>
      <c r="BW155" t="s">
        <v>2237</v>
      </c>
      <c r="BX155" t="s">
        <v>895</v>
      </c>
      <c r="BY155" t="s">
        <v>1638</v>
      </c>
      <c r="CG155" t="s">
        <v>2247</v>
      </c>
      <c r="CH155" t="s">
        <v>994</v>
      </c>
      <c r="CI155" t="s">
        <v>2247</v>
      </c>
      <c r="CJ155" t="s">
        <v>2247</v>
      </c>
      <c r="CP155" t="s">
        <v>900</v>
      </c>
      <c r="CT155" t="s">
        <v>2155</v>
      </c>
    </row>
    <row r="156" spans="1:98" x14ac:dyDescent="0.15">
      <c r="A156" t="s">
        <v>861</v>
      </c>
      <c r="B156" t="s">
        <v>862</v>
      </c>
      <c r="C156" t="s">
        <v>504</v>
      </c>
      <c r="D156" t="s">
        <v>504</v>
      </c>
      <c r="E156" t="s">
        <v>504</v>
      </c>
      <c r="F156" t="s">
        <v>863</v>
      </c>
      <c r="G156" t="s">
        <v>864</v>
      </c>
      <c r="H156" t="s">
        <v>916</v>
      </c>
      <c r="I156" t="s">
        <v>502</v>
      </c>
      <c r="J156" t="s">
        <v>2248</v>
      </c>
      <c r="K156" t="s">
        <v>977</v>
      </c>
      <c r="L156" t="s">
        <v>868</v>
      </c>
      <c r="N156" t="s">
        <v>861</v>
      </c>
      <c r="O156">
        <v>0</v>
      </c>
      <c r="P156" t="s">
        <v>2227</v>
      </c>
      <c r="Q156" t="s">
        <v>125</v>
      </c>
      <c r="R156" t="s">
        <v>2146</v>
      </c>
      <c r="S156" t="s">
        <v>871</v>
      </c>
      <c r="T156" t="s">
        <v>1274</v>
      </c>
      <c r="U156" t="s">
        <v>1274</v>
      </c>
      <c r="V156" t="s">
        <v>1356</v>
      </c>
      <c r="Y156" t="s">
        <v>910</v>
      </c>
      <c r="Z156" t="s">
        <v>861</v>
      </c>
      <c r="AA156" t="s">
        <v>958</v>
      </c>
      <c r="AB156" t="s">
        <v>2249</v>
      </c>
      <c r="AD156" t="s">
        <v>2148</v>
      </c>
      <c r="AE156" t="s">
        <v>2236</v>
      </c>
      <c r="AJ156" t="s">
        <v>861</v>
      </c>
      <c r="AK156" t="s">
        <v>880</v>
      </c>
      <c r="AL156" t="s">
        <v>881</v>
      </c>
      <c r="AM156" t="s">
        <v>882</v>
      </c>
      <c r="AP156" t="s">
        <v>1276</v>
      </c>
      <c r="AQ156" t="s">
        <v>1277</v>
      </c>
      <c r="AS156" t="s">
        <v>1277</v>
      </c>
      <c r="AT156" t="s">
        <v>1277</v>
      </c>
      <c r="AU156" t="s">
        <v>886</v>
      </c>
      <c r="AW156" t="s">
        <v>926</v>
      </c>
      <c r="AX156" t="s">
        <v>1278</v>
      </c>
      <c r="AZ156" t="s">
        <v>1162</v>
      </c>
      <c r="BA156" t="s">
        <v>928</v>
      </c>
      <c r="BK156" t="s">
        <v>891</v>
      </c>
      <c r="BL156">
        <v>280</v>
      </c>
      <c r="BM156">
        <v>68.400000000000006</v>
      </c>
      <c r="BN156">
        <v>8120</v>
      </c>
      <c r="BO156">
        <v>19040</v>
      </c>
      <c r="BP156">
        <v>19040</v>
      </c>
      <c r="BQ156">
        <v>19040</v>
      </c>
      <c r="BR156">
        <v>0</v>
      </c>
      <c r="BS156" t="s">
        <v>892</v>
      </c>
      <c r="BT156">
        <v>3234.1</v>
      </c>
      <c r="BV156" t="s">
        <v>2231</v>
      </c>
      <c r="BW156" t="s">
        <v>2237</v>
      </c>
      <c r="BX156" t="s">
        <v>1530</v>
      </c>
      <c r="BY156" t="s">
        <v>2250</v>
      </c>
      <c r="CG156" t="s">
        <v>2251</v>
      </c>
      <c r="CH156" t="s">
        <v>994</v>
      </c>
      <c r="CI156" t="s">
        <v>2251</v>
      </c>
      <c r="CJ156" t="s">
        <v>2251</v>
      </c>
      <c r="CP156" t="s">
        <v>1356</v>
      </c>
      <c r="CT156" t="s">
        <v>2155</v>
      </c>
    </row>
    <row r="157" spans="1:98" x14ac:dyDescent="0.15">
      <c r="A157" t="s">
        <v>861</v>
      </c>
      <c r="B157" t="s">
        <v>862</v>
      </c>
      <c r="C157" t="s">
        <v>554</v>
      </c>
      <c r="D157" t="s">
        <v>554</v>
      </c>
      <c r="E157" t="s">
        <v>554</v>
      </c>
      <c r="F157" t="s">
        <v>863</v>
      </c>
      <c r="G157" t="s">
        <v>864</v>
      </c>
      <c r="H157" t="s">
        <v>916</v>
      </c>
      <c r="I157" t="s">
        <v>553</v>
      </c>
      <c r="J157" t="s">
        <v>2252</v>
      </c>
      <c r="K157" t="s">
        <v>977</v>
      </c>
      <c r="L157" t="s">
        <v>868</v>
      </c>
      <c r="N157" t="s">
        <v>861</v>
      </c>
      <c r="O157">
        <v>0</v>
      </c>
      <c r="P157" t="s">
        <v>2227</v>
      </c>
      <c r="Q157" t="s">
        <v>15</v>
      </c>
      <c r="R157" t="s">
        <v>2146</v>
      </c>
      <c r="S157" t="s">
        <v>954</v>
      </c>
      <c r="T157" t="s">
        <v>2253</v>
      </c>
      <c r="U157" t="s">
        <v>2253</v>
      </c>
      <c r="V157" t="s">
        <v>981</v>
      </c>
      <c r="W157" t="s">
        <v>2254</v>
      </c>
      <c r="Y157" t="s">
        <v>874</v>
      </c>
      <c r="Z157" t="s">
        <v>861</v>
      </c>
      <c r="AA157" t="s">
        <v>958</v>
      </c>
      <c r="AB157" t="s">
        <v>2255</v>
      </c>
      <c r="AD157" t="s">
        <v>2148</v>
      </c>
      <c r="AE157" t="s">
        <v>2229</v>
      </c>
      <c r="AJ157" t="s">
        <v>861</v>
      </c>
      <c r="AK157" t="s">
        <v>880</v>
      </c>
      <c r="AP157" t="s">
        <v>969</v>
      </c>
      <c r="AZ157" t="s">
        <v>2256</v>
      </c>
      <c r="BK157" t="s">
        <v>891</v>
      </c>
      <c r="BL157">
        <v>280</v>
      </c>
      <c r="BM157">
        <v>69.569999999999993</v>
      </c>
      <c r="BN157">
        <v>8120</v>
      </c>
      <c r="BO157">
        <v>19040</v>
      </c>
      <c r="BP157">
        <v>19040</v>
      </c>
      <c r="BQ157">
        <v>19040</v>
      </c>
      <c r="BR157">
        <v>0</v>
      </c>
      <c r="BS157" t="s">
        <v>892</v>
      </c>
      <c r="BT157">
        <v>3206</v>
      </c>
      <c r="BV157" t="s">
        <v>2231</v>
      </c>
      <c r="BW157" t="s">
        <v>2232</v>
      </c>
      <c r="BX157" t="s">
        <v>895</v>
      </c>
      <c r="BY157" t="s">
        <v>2243</v>
      </c>
      <c r="CG157" t="s">
        <v>2257</v>
      </c>
      <c r="CH157" t="s">
        <v>994</v>
      </c>
      <c r="CI157" t="s">
        <v>2257</v>
      </c>
      <c r="CJ157" t="s">
        <v>2257</v>
      </c>
      <c r="CP157" t="s">
        <v>1275</v>
      </c>
      <c r="CT157" t="s">
        <v>2155</v>
      </c>
    </row>
    <row r="158" spans="1:98" x14ac:dyDescent="0.15">
      <c r="A158" t="s">
        <v>861</v>
      </c>
      <c r="B158" t="s">
        <v>862</v>
      </c>
      <c r="C158" t="s">
        <v>439</v>
      </c>
      <c r="D158" t="s">
        <v>439</v>
      </c>
      <c r="E158" t="s">
        <v>439</v>
      </c>
      <c r="F158" t="s">
        <v>863</v>
      </c>
      <c r="G158" t="s">
        <v>864</v>
      </c>
      <c r="H158" t="s">
        <v>865</v>
      </c>
      <c r="I158" t="s">
        <v>438</v>
      </c>
      <c r="J158" t="s">
        <v>2258</v>
      </c>
      <c r="K158" t="s">
        <v>977</v>
      </c>
      <c r="L158" t="s">
        <v>868</v>
      </c>
      <c r="N158" t="s">
        <v>861</v>
      </c>
      <c r="O158">
        <v>0</v>
      </c>
      <c r="P158" t="s">
        <v>2227</v>
      </c>
      <c r="Q158" t="s">
        <v>36</v>
      </c>
      <c r="R158" t="s">
        <v>2146</v>
      </c>
      <c r="S158" t="s">
        <v>979</v>
      </c>
      <c r="T158" t="s">
        <v>980</v>
      </c>
      <c r="U158" t="s">
        <v>980</v>
      </c>
      <c r="V158" t="s">
        <v>981</v>
      </c>
      <c r="Y158" t="s">
        <v>874</v>
      </c>
      <c r="Z158" t="s">
        <v>861</v>
      </c>
      <c r="AA158" t="s">
        <v>958</v>
      </c>
      <c r="AB158" t="s">
        <v>2241</v>
      </c>
      <c r="AD158" t="s">
        <v>2148</v>
      </c>
      <c r="AE158" t="s">
        <v>2229</v>
      </c>
      <c r="AF158" t="s">
        <v>983</v>
      </c>
      <c r="AG158" t="s">
        <v>888</v>
      </c>
      <c r="AH158" t="s">
        <v>984</v>
      </c>
      <c r="AI158" t="s">
        <v>2259</v>
      </c>
      <c r="AJ158" t="s">
        <v>861</v>
      </c>
      <c r="AK158" t="s">
        <v>880</v>
      </c>
      <c r="AL158" t="s">
        <v>913</v>
      </c>
      <c r="AM158" t="s">
        <v>986</v>
      </c>
      <c r="AP158" t="s">
        <v>883</v>
      </c>
      <c r="AQ158" t="s">
        <v>890</v>
      </c>
      <c r="AR158" t="s">
        <v>2259</v>
      </c>
      <c r="AS158" t="s">
        <v>890</v>
      </c>
      <c r="AT158" t="s">
        <v>890</v>
      </c>
      <c r="AU158" t="s">
        <v>886</v>
      </c>
      <c r="AW158" t="s">
        <v>890</v>
      </c>
      <c r="AX158" t="s">
        <v>890</v>
      </c>
      <c r="AZ158" t="s">
        <v>1382</v>
      </c>
      <c r="BA158" t="s">
        <v>988</v>
      </c>
      <c r="BK158" t="s">
        <v>891</v>
      </c>
      <c r="BL158">
        <v>280</v>
      </c>
      <c r="BM158">
        <v>69.569999999999993</v>
      </c>
      <c r="BN158">
        <v>8120</v>
      </c>
      <c r="BO158">
        <v>19040</v>
      </c>
      <c r="BP158">
        <v>19040</v>
      </c>
      <c r="BQ158">
        <v>19040</v>
      </c>
      <c r="BR158">
        <v>0</v>
      </c>
      <c r="BS158" t="s">
        <v>892</v>
      </c>
      <c r="BT158">
        <v>2064</v>
      </c>
      <c r="BV158" t="s">
        <v>2231</v>
      </c>
      <c r="BW158" t="s">
        <v>2232</v>
      </c>
      <c r="BX158" t="s">
        <v>895</v>
      </c>
      <c r="BY158" t="s">
        <v>2243</v>
      </c>
      <c r="CG158" t="s">
        <v>2260</v>
      </c>
      <c r="CH158" t="s">
        <v>994</v>
      </c>
      <c r="CI158" t="s">
        <v>2260</v>
      </c>
      <c r="CJ158" t="s">
        <v>2260</v>
      </c>
      <c r="CP158" t="s">
        <v>981</v>
      </c>
      <c r="CT158" t="s">
        <v>2155</v>
      </c>
    </row>
    <row r="159" spans="1:98" x14ac:dyDescent="0.15">
      <c r="A159" t="s">
        <v>861</v>
      </c>
      <c r="B159" t="s">
        <v>862</v>
      </c>
      <c r="C159" t="s">
        <v>364</v>
      </c>
      <c r="D159" t="s">
        <v>364</v>
      </c>
      <c r="E159" t="s">
        <v>364</v>
      </c>
      <c r="F159" t="s">
        <v>863</v>
      </c>
      <c r="G159" t="s">
        <v>864</v>
      </c>
      <c r="H159" t="s">
        <v>865</v>
      </c>
      <c r="I159" t="s">
        <v>363</v>
      </c>
      <c r="J159" t="s">
        <v>2261</v>
      </c>
      <c r="K159" t="s">
        <v>977</v>
      </c>
      <c r="L159" t="s">
        <v>868</v>
      </c>
      <c r="N159" t="s">
        <v>861</v>
      </c>
      <c r="O159">
        <v>0</v>
      </c>
      <c r="P159" t="s">
        <v>2227</v>
      </c>
      <c r="Q159" t="s">
        <v>36</v>
      </c>
      <c r="R159" t="s">
        <v>2146</v>
      </c>
      <c r="S159" t="s">
        <v>979</v>
      </c>
      <c r="T159" t="s">
        <v>980</v>
      </c>
      <c r="U159" t="s">
        <v>980</v>
      </c>
      <c r="V159" t="s">
        <v>981</v>
      </c>
      <c r="Y159" t="s">
        <v>874</v>
      </c>
      <c r="Z159" t="s">
        <v>861</v>
      </c>
      <c r="AA159" t="s">
        <v>958</v>
      </c>
      <c r="AB159" t="s">
        <v>2262</v>
      </c>
      <c r="AD159" t="s">
        <v>2148</v>
      </c>
      <c r="AE159" t="s">
        <v>2229</v>
      </c>
      <c r="AF159" t="s">
        <v>983</v>
      </c>
      <c r="AG159" t="s">
        <v>888</v>
      </c>
      <c r="AH159" t="s">
        <v>984</v>
      </c>
      <c r="AI159" t="s">
        <v>2263</v>
      </c>
      <c r="AJ159" t="s">
        <v>861</v>
      </c>
      <c r="AK159" t="s">
        <v>880</v>
      </c>
      <c r="AL159" t="s">
        <v>1860</v>
      </c>
      <c r="AM159" t="s">
        <v>986</v>
      </c>
      <c r="AP159" t="s">
        <v>883</v>
      </c>
      <c r="AQ159" t="s">
        <v>890</v>
      </c>
      <c r="AR159" t="s">
        <v>2263</v>
      </c>
      <c r="AS159" t="s">
        <v>890</v>
      </c>
      <c r="AT159" t="s">
        <v>890</v>
      </c>
      <c r="AU159" t="s">
        <v>886</v>
      </c>
      <c r="AW159" t="s">
        <v>890</v>
      </c>
      <c r="AX159" t="s">
        <v>1151</v>
      </c>
      <c r="AZ159" t="s">
        <v>1382</v>
      </c>
      <c r="BA159" t="s">
        <v>2264</v>
      </c>
      <c r="BK159" t="s">
        <v>891</v>
      </c>
      <c r="BL159">
        <v>201</v>
      </c>
      <c r="BM159">
        <v>67.599999999999994</v>
      </c>
      <c r="BN159">
        <v>9457.5</v>
      </c>
      <c r="BO159">
        <v>22291.5</v>
      </c>
      <c r="BP159">
        <v>22291.5</v>
      </c>
      <c r="BQ159">
        <v>22291.5</v>
      </c>
      <c r="BR159">
        <v>0</v>
      </c>
      <c r="BS159" t="s">
        <v>892</v>
      </c>
      <c r="BT159">
        <v>2064</v>
      </c>
      <c r="BV159" t="s">
        <v>2231</v>
      </c>
      <c r="BW159" t="s">
        <v>2232</v>
      </c>
      <c r="BX159" t="s">
        <v>895</v>
      </c>
      <c r="BY159" t="s">
        <v>2265</v>
      </c>
      <c r="CG159" t="s">
        <v>2266</v>
      </c>
      <c r="CH159" t="s">
        <v>994</v>
      </c>
      <c r="CI159" t="s">
        <v>2266</v>
      </c>
      <c r="CJ159" t="s">
        <v>2266</v>
      </c>
      <c r="CP159" t="s">
        <v>981</v>
      </c>
      <c r="CT159" t="s">
        <v>2155</v>
      </c>
    </row>
    <row r="160" spans="1:98" x14ac:dyDescent="0.15">
      <c r="A160" t="s">
        <v>861</v>
      </c>
      <c r="B160" t="s">
        <v>862</v>
      </c>
      <c r="C160" t="s">
        <v>498</v>
      </c>
      <c r="D160" t="s">
        <v>498</v>
      </c>
      <c r="E160" t="s">
        <v>498</v>
      </c>
      <c r="F160" t="s">
        <v>863</v>
      </c>
      <c r="G160" t="s">
        <v>864</v>
      </c>
      <c r="H160" t="s">
        <v>916</v>
      </c>
      <c r="I160" t="s">
        <v>496</v>
      </c>
      <c r="J160" t="s">
        <v>2267</v>
      </c>
      <c r="K160" t="s">
        <v>977</v>
      </c>
      <c r="L160" t="s">
        <v>868</v>
      </c>
      <c r="N160" t="s">
        <v>861</v>
      </c>
      <c r="O160">
        <v>0</v>
      </c>
      <c r="P160" t="s">
        <v>2227</v>
      </c>
      <c r="Q160" t="s">
        <v>15</v>
      </c>
      <c r="R160" t="s">
        <v>2146</v>
      </c>
      <c r="S160" t="s">
        <v>954</v>
      </c>
      <c r="T160" t="s">
        <v>2253</v>
      </c>
      <c r="U160" t="s">
        <v>2253</v>
      </c>
      <c r="V160" t="s">
        <v>981</v>
      </c>
      <c r="W160" t="s">
        <v>2254</v>
      </c>
      <c r="Y160" t="s">
        <v>874</v>
      </c>
      <c r="Z160" t="s">
        <v>861</v>
      </c>
      <c r="AA160" t="s">
        <v>958</v>
      </c>
      <c r="AB160" t="s">
        <v>2268</v>
      </c>
      <c r="AD160" t="s">
        <v>2148</v>
      </c>
      <c r="AE160" t="s">
        <v>2229</v>
      </c>
      <c r="AJ160" t="s">
        <v>861</v>
      </c>
      <c r="AK160" t="s">
        <v>880</v>
      </c>
      <c r="AP160" t="s">
        <v>969</v>
      </c>
      <c r="AZ160" t="s">
        <v>2256</v>
      </c>
      <c r="BK160" t="s">
        <v>891</v>
      </c>
      <c r="BL160">
        <v>256</v>
      </c>
      <c r="BM160">
        <v>71.87</v>
      </c>
      <c r="BN160">
        <v>9265</v>
      </c>
      <c r="BO160">
        <v>22219.200000000001</v>
      </c>
      <c r="BP160">
        <v>22219.200000000001</v>
      </c>
      <c r="BQ160">
        <v>22219.200000000001</v>
      </c>
      <c r="BR160">
        <v>0</v>
      </c>
      <c r="BS160" t="s">
        <v>892</v>
      </c>
      <c r="BT160">
        <v>3206</v>
      </c>
      <c r="BV160" t="s">
        <v>2231</v>
      </c>
      <c r="BW160" t="s">
        <v>2232</v>
      </c>
      <c r="BX160" t="s">
        <v>895</v>
      </c>
      <c r="BY160" t="s">
        <v>1454</v>
      </c>
      <c r="CG160" t="s">
        <v>2269</v>
      </c>
      <c r="CH160" t="s">
        <v>994</v>
      </c>
      <c r="CI160" t="s">
        <v>2269</v>
      </c>
      <c r="CJ160" t="s">
        <v>2269</v>
      </c>
      <c r="CP160" t="s">
        <v>1275</v>
      </c>
      <c r="CT160" t="s">
        <v>2155</v>
      </c>
    </row>
    <row r="161" spans="1:98" x14ac:dyDescent="0.15">
      <c r="A161" t="s">
        <v>861</v>
      </c>
      <c r="B161" t="s">
        <v>862</v>
      </c>
      <c r="C161" t="s">
        <v>569</v>
      </c>
      <c r="D161" t="s">
        <v>569</v>
      </c>
      <c r="E161" t="s">
        <v>569</v>
      </c>
      <c r="F161" t="s">
        <v>863</v>
      </c>
      <c r="G161" t="s">
        <v>864</v>
      </c>
      <c r="H161" t="s">
        <v>916</v>
      </c>
      <c r="I161" t="s">
        <v>568</v>
      </c>
      <c r="J161" t="s">
        <v>2270</v>
      </c>
      <c r="K161" t="s">
        <v>977</v>
      </c>
      <c r="L161" t="s">
        <v>868</v>
      </c>
      <c r="N161" t="s">
        <v>861</v>
      </c>
      <c r="O161">
        <v>0</v>
      </c>
      <c r="P161" t="s">
        <v>2227</v>
      </c>
      <c r="Q161" t="s">
        <v>125</v>
      </c>
      <c r="R161" t="s">
        <v>2146</v>
      </c>
      <c r="S161" t="s">
        <v>871</v>
      </c>
      <c r="T161" t="s">
        <v>1274</v>
      </c>
      <c r="U161" t="s">
        <v>1274</v>
      </c>
      <c r="V161" t="s">
        <v>1292</v>
      </c>
      <c r="Y161" t="s">
        <v>874</v>
      </c>
      <c r="Z161" t="s">
        <v>861</v>
      </c>
      <c r="AA161" t="s">
        <v>958</v>
      </c>
      <c r="AB161" t="s">
        <v>2271</v>
      </c>
      <c r="AD161" t="s">
        <v>2272</v>
      </c>
      <c r="AE161" t="s">
        <v>2273</v>
      </c>
      <c r="AJ161" t="s">
        <v>861</v>
      </c>
      <c r="AK161" t="s">
        <v>880</v>
      </c>
      <c r="AL161" t="s">
        <v>913</v>
      </c>
      <c r="AM161" t="s">
        <v>882</v>
      </c>
      <c r="AP161" t="s">
        <v>1276</v>
      </c>
      <c r="AQ161" t="s">
        <v>1277</v>
      </c>
      <c r="AS161" t="s">
        <v>1277</v>
      </c>
      <c r="AT161" t="s">
        <v>1277</v>
      </c>
      <c r="AU161" t="s">
        <v>886</v>
      </c>
      <c r="AW161" t="s">
        <v>926</v>
      </c>
      <c r="AX161" t="s">
        <v>1278</v>
      </c>
      <c r="AZ161" t="s">
        <v>1162</v>
      </c>
      <c r="BA161" t="s">
        <v>928</v>
      </c>
      <c r="BK161" t="s">
        <v>891</v>
      </c>
      <c r="BL161">
        <v>201</v>
      </c>
      <c r="BM161">
        <v>72.05</v>
      </c>
      <c r="BN161">
        <v>9457.5</v>
      </c>
      <c r="BO161">
        <v>22291.5</v>
      </c>
      <c r="BP161">
        <v>22291.5</v>
      </c>
      <c r="BQ161">
        <v>22291.5</v>
      </c>
      <c r="BR161">
        <v>0</v>
      </c>
      <c r="BS161" t="s">
        <v>892</v>
      </c>
      <c r="BT161">
        <v>3234.1</v>
      </c>
      <c r="BV161" t="s">
        <v>2274</v>
      </c>
      <c r="BW161" t="s">
        <v>2275</v>
      </c>
      <c r="BX161" t="s">
        <v>895</v>
      </c>
      <c r="BY161" t="s">
        <v>2265</v>
      </c>
      <c r="CG161" t="s">
        <v>2276</v>
      </c>
      <c r="CH161" t="s">
        <v>994</v>
      </c>
      <c r="CI161" t="s">
        <v>2276</v>
      </c>
      <c r="CJ161" t="s">
        <v>2276</v>
      </c>
      <c r="CP161" t="s">
        <v>981</v>
      </c>
      <c r="CT161" t="s">
        <v>2155</v>
      </c>
    </row>
    <row r="162" spans="1:98" x14ac:dyDescent="0.15">
      <c r="A162" t="s">
        <v>861</v>
      </c>
      <c r="B162" t="s">
        <v>862</v>
      </c>
      <c r="C162" t="s">
        <v>385</v>
      </c>
      <c r="D162" t="s">
        <v>385</v>
      </c>
      <c r="E162" t="s">
        <v>385</v>
      </c>
      <c r="F162" t="s">
        <v>863</v>
      </c>
      <c r="G162" t="s">
        <v>864</v>
      </c>
      <c r="H162" t="s">
        <v>865</v>
      </c>
      <c r="I162" t="s">
        <v>384</v>
      </c>
      <c r="J162" t="s">
        <v>2277</v>
      </c>
      <c r="K162" t="s">
        <v>977</v>
      </c>
      <c r="L162" t="s">
        <v>868</v>
      </c>
      <c r="N162" t="s">
        <v>861</v>
      </c>
      <c r="O162">
        <v>0</v>
      </c>
      <c r="P162" t="s">
        <v>2227</v>
      </c>
      <c r="Q162" t="s">
        <v>36</v>
      </c>
      <c r="R162" t="s">
        <v>2146</v>
      </c>
      <c r="S162" t="s">
        <v>979</v>
      </c>
      <c r="T162" t="s">
        <v>980</v>
      </c>
      <c r="U162" t="s">
        <v>980</v>
      </c>
      <c r="V162" t="s">
        <v>981</v>
      </c>
      <c r="Y162" t="s">
        <v>874</v>
      </c>
      <c r="Z162" t="s">
        <v>861</v>
      </c>
      <c r="AA162" t="s">
        <v>958</v>
      </c>
      <c r="AB162" t="s">
        <v>2278</v>
      </c>
      <c r="AD162" t="s">
        <v>2148</v>
      </c>
      <c r="AE162" t="s">
        <v>2229</v>
      </c>
      <c r="AF162" t="s">
        <v>983</v>
      </c>
      <c r="AG162" t="s">
        <v>888</v>
      </c>
      <c r="AH162" t="s">
        <v>984</v>
      </c>
      <c r="AI162" t="s">
        <v>2279</v>
      </c>
      <c r="AJ162" t="s">
        <v>861</v>
      </c>
      <c r="AK162" t="s">
        <v>880</v>
      </c>
      <c r="AL162" t="s">
        <v>913</v>
      </c>
      <c r="AM162" t="s">
        <v>986</v>
      </c>
      <c r="AP162" t="s">
        <v>883</v>
      </c>
      <c r="AQ162" t="s">
        <v>890</v>
      </c>
      <c r="AR162" t="s">
        <v>2279</v>
      </c>
      <c r="AS162" t="s">
        <v>890</v>
      </c>
      <c r="AT162" t="s">
        <v>890</v>
      </c>
      <c r="AU162" t="s">
        <v>886</v>
      </c>
      <c r="AW162" t="s">
        <v>890</v>
      </c>
      <c r="AX162" t="s">
        <v>890</v>
      </c>
      <c r="AZ162" t="s">
        <v>1382</v>
      </c>
      <c r="BA162" t="s">
        <v>988</v>
      </c>
      <c r="BK162" t="s">
        <v>891</v>
      </c>
      <c r="BL162">
        <v>420</v>
      </c>
      <c r="BM162">
        <v>67.13</v>
      </c>
      <c r="BN162">
        <v>8316</v>
      </c>
      <c r="BO162">
        <v>22680</v>
      </c>
      <c r="BP162">
        <v>22680</v>
      </c>
      <c r="BQ162">
        <v>22680</v>
      </c>
      <c r="BR162">
        <v>0</v>
      </c>
      <c r="BS162" t="s">
        <v>892</v>
      </c>
      <c r="BT162">
        <v>2064</v>
      </c>
      <c r="BV162" t="s">
        <v>2231</v>
      </c>
      <c r="BW162" t="s">
        <v>2232</v>
      </c>
      <c r="BX162" t="s">
        <v>895</v>
      </c>
      <c r="BY162" t="s">
        <v>2265</v>
      </c>
      <c r="CG162" t="s">
        <v>2280</v>
      </c>
      <c r="CH162" t="s">
        <v>994</v>
      </c>
      <c r="CI162" t="s">
        <v>2280</v>
      </c>
      <c r="CJ162" t="s">
        <v>2280</v>
      </c>
      <c r="CP162" t="s">
        <v>981</v>
      </c>
      <c r="CT162" t="s">
        <v>2155</v>
      </c>
    </row>
    <row r="163" spans="1:98" x14ac:dyDescent="0.15">
      <c r="A163" t="s">
        <v>861</v>
      </c>
      <c r="B163" t="s">
        <v>862</v>
      </c>
      <c r="C163" t="s">
        <v>543</v>
      </c>
      <c r="D163" t="s">
        <v>543</v>
      </c>
      <c r="E163" t="s">
        <v>543</v>
      </c>
      <c r="F163" t="s">
        <v>863</v>
      </c>
      <c r="G163" t="s">
        <v>864</v>
      </c>
      <c r="H163" t="s">
        <v>916</v>
      </c>
      <c r="I163" t="s">
        <v>541</v>
      </c>
      <c r="J163" t="s">
        <v>2281</v>
      </c>
      <c r="K163" t="s">
        <v>977</v>
      </c>
      <c r="L163" t="s">
        <v>868</v>
      </c>
      <c r="N163" t="s">
        <v>861</v>
      </c>
      <c r="O163">
        <v>0</v>
      </c>
      <c r="P163" t="s">
        <v>2227</v>
      </c>
      <c r="Q163" t="s">
        <v>15</v>
      </c>
      <c r="R163" t="s">
        <v>2146</v>
      </c>
      <c r="S163" t="s">
        <v>954</v>
      </c>
      <c r="T163" t="s">
        <v>2282</v>
      </c>
      <c r="U163" t="s">
        <v>1378</v>
      </c>
      <c r="V163" t="s">
        <v>1371</v>
      </c>
      <c r="W163" t="s">
        <v>1267</v>
      </c>
      <c r="Y163" t="s">
        <v>874</v>
      </c>
      <c r="Z163" t="s">
        <v>861</v>
      </c>
      <c r="AA163" t="s">
        <v>958</v>
      </c>
      <c r="AB163" t="s">
        <v>2283</v>
      </c>
      <c r="AD163" t="s">
        <v>2148</v>
      </c>
      <c r="AE163" t="s">
        <v>2284</v>
      </c>
      <c r="AJ163" t="s">
        <v>861</v>
      </c>
      <c r="AK163" t="s">
        <v>880</v>
      </c>
      <c r="AL163" t="s">
        <v>1001</v>
      </c>
      <c r="AM163" t="s">
        <v>967</v>
      </c>
      <c r="AP163" t="s">
        <v>965</v>
      </c>
      <c r="AQ163" t="s">
        <v>965</v>
      </c>
      <c r="AS163" t="s">
        <v>965</v>
      </c>
      <c r="AT163" t="s">
        <v>965</v>
      </c>
      <c r="AU163" t="s">
        <v>886</v>
      </c>
      <c r="AW163" t="s">
        <v>969</v>
      </c>
      <c r="AX163" t="s">
        <v>1003</v>
      </c>
      <c r="AZ163" t="s">
        <v>1051</v>
      </c>
      <c r="BA163" t="s">
        <v>925</v>
      </c>
      <c r="BK163" t="s">
        <v>891</v>
      </c>
      <c r="BL163">
        <v>420</v>
      </c>
      <c r="BM163">
        <v>67.13</v>
      </c>
      <c r="BN163">
        <v>8316</v>
      </c>
      <c r="BO163">
        <v>22680</v>
      </c>
      <c r="BP163">
        <v>22680</v>
      </c>
      <c r="BQ163">
        <v>22680</v>
      </c>
      <c r="BR163">
        <v>0</v>
      </c>
      <c r="BS163" t="s">
        <v>892</v>
      </c>
      <c r="BT163">
        <v>3206</v>
      </c>
      <c r="BV163" t="s">
        <v>2231</v>
      </c>
      <c r="BW163" t="s">
        <v>2285</v>
      </c>
      <c r="BX163" t="s">
        <v>895</v>
      </c>
      <c r="BY163" t="s">
        <v>2286</v>
      </c>
      <c r="CG163" t="s">
        <v>2287</v>
      </c>
      <c r="CH163" t="s">
        <v>994</v>
      </c>
      <c r="CI163" t="s">
        <v>2287</v>
      </c>
      <c r="CJ163" t="s">
        <v>2287</v>
      </c>
      <c r="CP163" t="s">
        <v>1250</v>
      </c>
      <c r="CT163" t="s">
        <v>2155</v>
      </c>
    </row>
    <row r="164" spans="1:98" x14ac:dyDescent="0.15">
      <c r="A164" t="s">
        <v>861</v>
      </c>
      <c r="B164" t="s">
        <v>862</v>
      </c>
      <c r="C164" t="s">
        <v>123</v>
      </c>
      <c r="D164" t="s">
        <v>123</v>
      </c>
      <c r="E164" t="s">
        <v>123</v>
      </c>
      <c r="F164" t="s">
        <v>863</v>
      </c>
      <c r="G164" t="s">
        <v>864</v>
      </c>
      <c r="H164" t="s">
        <v>865</v>
      </c>
      <c r="I164" t="s">
        <v>121</v>
      </c>
      <c r="J164" t="s">
        <v>2288</v>
      </c>
      <c r="K164" t="s">
        <v>977</v>
      </c>
      <c r="L164" t="s">
        <v>868</v>
      </c>
      <c r="N164" t="s">
        <v>861</v>
      </c>
      <c r="O164">
        <v>0</v>
      </c>
      <c r="P164" t="s">
        <v>2227</v>
      </c>
      <c r="Q164" t="s">
        <v>36</v>
      </c>
      <c r="R164" t="s">
        <v>2146</v>
      </c>
      <c r="S164" t="s">
        <v>979</v>
      </c>
      <c r="T164" t="s">
        <v>980</v>
      </c>
      <c r="U164" t="s">
        <v>980</v>
      </c>
      <c r="V164" t="s">
        <v>981</v>
      </c>
      <c r="Y164" t="s">
        <v>874</v>
      </c>
      <c r="Z164" t="s">
        <v>861</v>
      </c>
      <c r="AA164" t="s">
        <v>958</v>
      </c>
      <c r="AB164" t="s">
        <v>2289</v>
      </c>
      <c r="AD164" t="s">
        <v>2148</v>
      </c>
      <c r="AE164" t="s">
        <v>2229</v>
      </c>
      <c r="AF164" t="s">
        <v>983</v>
      </c>
      <c r="AG164" t="s">
        <v>888</v>
      </c>
      <c r="AH164" t="s">
        <v>984</v>
      </c>
      <c r="AI164" t="s">
        <v>2290</v>
      </c>
      <c r="AJ164" t="s">
        <v>861</v>
      </c>
      <c r="AK164" t="s">
        <v>880</v>
      </c>
      <c r="AL164" t="s">
        <v>1860</v>
      </c>
      <c r="AM164" t="s">
        <v>986</v>
      </c>
      <c r="AP164" t="s">
        <v>883</v>
      </c>
      <c r="AQ164" t="s">
        <v>890</v>
      </c>
      <c r="AR164" t="s">
        <v>2290</v>
      </c>
      <c r="AS164" t="s">
        <v>890</v>
      </c>
      <c r="AT164" t="s">
        <v>890</v>
      </c>
      <c r="AU164" t="s">
        <v>886</v>
      </c>
      <c r="AW164" t="s">
        <v>890</v>
      </c>
      <c r="AX164" t="s">
        <v>890</v>
      </c>
      <c r="AZ164" t="s">
        <v>1382</v>
      </c>
      <c r="BA164" t="s">
        <v>988</v>
      </c>
      <c r="BK164" t="s">
        <v>891</v>
      </c>
      <c r="BL164">
        <v>242</v>
      </c>
      <c r="BM164">
        <v>62</v>
      </c>
      <c r="BN164">
        <v>7381</v>
      </c>
      <c r="BO164">
        <v>24901.8</v>
      </c>
      <c r="BP164">
        <v>24901.8</v>
      </c>
      <c r="BQ164">
        <v>24901.8</v>
      </c>
      <c r="BR164">
        <v>0</v>
      </c>
      <c r="BS164" t="s">
        <v>892</v>
      </c>
      <c r="BT164">
        <v>2064</v>
      </c>
      <c r="BV164" t="s">
        <v>2231</v>
      </c>
      <c r="BW164" t="s">
        <v>2232</v>
      </c>
      <c r="BX164" t="s">
        <v>895</v>
      </c>
      <c r="BY164" t="s">
        <v>1693</v>
      </c>
      <c r="CG164" t="s">
        <v>2291</v>
      </c>
      <c r="CH164" t="s">
        <v>994</v>
      </c>
      <c r="CI164" t="s">
        <v>2291</v>
      </c>
      <c r="CJ164" t="s">
        <v>2291</v>
      </c>
      <c r="CP164" t="s">
        <v>1275</v>
      </c>
      <c r="CT164" t="s">
        <v>2155</v>
      </c>
    </row>
    <row r="165" spans="1:98" x14ac:dyDescent="0.15">
      <c r="A165" t="s">
        <v>861</v>
      </c>
      <c r="B165" t="s">
        <v>862</v>
      </c>
      <c r="C165" t="s">
        <v>558</v>
      </c>
      <c r="D165" t="s">
        <v>558</v>
      </c>
      <c r="E165" t="s">
        <v>558</v>
      </c>
      <c r="F165" t="s">
        <v>863</v>
      </c>
      <c r="G165" t="s">
        <v>864</v>
      </c>
      <c r="H165" t="s">
        <v>916</v>
      </c>
      <c r="I165" t="s">
        <v>557</v>
      </c>
      <c r="J165" t="s">
        <v>2292</v>
      </c>
      <c r="K165" t="s">
        <v>977</v>
      </c>
      <c r="L165" t="s">
        <v>868</v>
      </c>
      <c r="N165" t="s">
        <v>861</v>
      </c>
      <c r="O165">
        <v>0</v>
      </c>
      <c r="P165" t="s">
        <v>2227</v>
      </c>
      <c r="Q165" t="s">
        <v>15</v>
      </c>
      <c r="R165" t="s">
        <v>2146</v>
      </c>
      <c r="S165" t="s">
        <v>954</v>
      </c>
      <c r="T165" t="s">
        <v>1278</v>
      </c>
      <c r="U165" t="s">
        <v>1278</v>
      </c>
      <c r="V165" t="s">
        <v>1356</v>
      </c>
      <c r="W165" t="s">
        <v>942</v>
      </c>
      <c r="Y165" t="s">
        <v>874</v>
      </c>
      <c r="Z165" t="s">
        <v>861</v>
      </c>
      <c r="AA165" t="s">
        <v>958</v>
      </c>
      <c r="AB165" t="s">
        <v>2246</v>
      </c>
      <c r="AD165" t="s">
        <v>2148</v>
      </c>
      <c r="AE165" t="s">
        <v>2236</v>
      </c>
      <c r="AJ165" t="s">
        <v>861</v>
      </c>
      <c r="AK165" t="s">
        <v>880</v>
      </c>
      <c r="AP165" t="s">
        <v>1266</v>
      </c>
      <c r="AZ165" t="s">
        <v>2150</v>
      </c>
      <c r="BK165" t="s">
        <v>891</v>
      </c>
      <c r="BL165">
        <v>232</v>
      </c>
      <c r="BM165">
        <v>59.44</v>
      </c>
      <c r="BN165">
        <v>7076</v>
      </c>
      <c r="BO165">
        <v>23872.799999999999</v>
      </c>
      <c r="BP165">
        <v>23872.799999999999</v>
      </c>
      <c r="BQ165">
        <v>23872.799999999999</v>
      </c>
      <c r="BR165">
        <v>0</v>
      </c>
      <c r="BS165" t="s">
        <v>892</v>
      </c>
      <c r="BT165">
        <v>3206</v>
      </c>
      <c r="BV165" t="s">
        <v>2231</v>
      </c>
      <c r="BW165" t="s">
        <v>2237</v>
      </c>
      <c r="BX165" t="s">
        <v>895</v>
      </c>
      <c r="BY165" t="s">
        <v>2250</v>
      </c>
      <c r="CG165" t="s">
        <v>2293</v>
      </c>
      <c r="CH165" t="s">
        <v>994</v>
      </c>
      <c r="CI165" t="s">
        <v>2293</v>
      </c>
      <c r="CJ165" t="s">
        <v>2293</v>
      </c>
      <c r="CP165" t="s">
        <v>1356</v>
      </c>
      <c r="CT165" t="s">
        <v>2155</v>
      </c>
    </row>
    <row r="166" spans="1:98" x14ac:dyDescent="0.15">
      <c r="A166" t="s">
        <v>861</v>
      </c>
      <c r="B166" t="s">
        <v>862</v>
      </c>
      <c r="C166" t="s">
        <v>571</v>
      </c>
      <c r="D166" t="s">
        <v>571</v>
      </c>
      <c r="E166" t="s">
        <v>571</v>
      </c>
      <c r="F166" t="s">
        <v>863</v>
      </c>
      <c r="G166" t="s">
        <v>864</v>
      </c>
      <c r="H166" t="s">
        <v>916</v>
      </c>
      <c r="I166" t="s">
        <v>570</v>
      </c>
      <c r="J166" t="s">
        <v>2294</v>
      </c>
      <c r="K166" t="s">
        <v>977</v>
      </c>
      <c r="L166" t="s">
        <v>868</v>
      </c>
      <c r="N166" t="s">
        <v>861</v>
      </c>
      <c r="O166">
        <v>0</v>
      </c>
      <c r="P166" t="s">
        <v>2227</v>
      </c>
      <c r="Q166" t="s">
        <v>125</v>
      </c>
      <c r="R166" t="s">
        <v>2146</v>
      </c>
      <c r="S166" t="s">
        <v>871</v>
      </c>
      <c r="T166" t="s">
        <v>1274</v>
      </c>
      <c r="U166" t="s">
        <v>1274</v>
      </c>
      <c r="V166" t="s">
        <v>900</v>
      </c>
      <c r="Y166" t="s">
        <v>874</v>
      </c>
      <c r="Z166" t="s">
        <v>861</v>
      </c>
      <c r="AA166" t="s">
        <v>958</v>
      </c>
      <c r="AB166" t="s">
        <v>2295</v>
      </c>
      <c r="AD166" t="s">
        <v>2148</v>
      </c>
      <c r="AE166" t="s">
        <v>2236</v>
      </c>
      <c r="AJ166" t="s">
        <v>861</v>
      </c>
      <c r="AK166" t="s">
        <v>880</v>
      </c>
      <c r="AL166" t="s">
        <v>881</v>
      </c>
      <c r="AM166" t="s">
        <v>882</v>
      </c>
      <c r="AP166" t="s">
        <v>1276</v>
      </c>
      <c r="AQ166" t="s">
        <v>1277</v>
      </c>
      <c r="AS166" t="s">
        <v>1277</v>
      </c>
      <c r="AT166" t="s">
        <v>1277</v>
      </c>
      <c r="AU166" t="s">
        <v>886</v>
      </c>
      <c r="AW166" t="s">
        <v>926</v>
      </c>
      <c r="AX166" t="s">
        <v>928</v>
      </c>
      <c r="AZ166" t="s">
        <v>1162</v>
      </c>
      <c r="BA166" t="s">
        <v>930</v>
      </c>
      <c r="BK166" t="s">
        <v>891</v>
      </c>
      <c r="BL166">
        <v>236</v>
      </c>
      <c r="BM166">
        <v>60.46</v>
      </c>
      <c r="BN166">
        <v>7198</v>
      </c>
      <c r="BO166">
        <v>24284.400000000001</v>
      </c>
      <c r="BP166">
        <v>24284.400000000001</v>
      </c>
      <c r="BQ166">
        <v>24284.400000000001</v>
      </c>
      <c r="BR166">
        <v>0</v>
      </c>
      <c r="BS166" t="s">
        <v>892</v>
      </c>
      <c r="BT166">
        <v>3234.1</v>
      </c>
      <c r="BV166" t="s">
        <v>2231</v>
      </c>
      <c r="BW166" t="s">
        <v>2237</v>
      </c>
      <c r="BX166" t="s">
        <v>895</v>
      </c>
      <c r="BY166" t="s">
        <v>2296</v>
      </c>
      <c r="CG166" t="s">
        <v>2297</v>
      </c>
      <c r="CH166" t="s">
        <v>994</v>
      </c>
      <c r="CI166" t="s">
        <v>2297</v>
      </c>
      <c r="CJ166" t="s">
        <v>2297</v>
      </c>
      <c r="CP166" t="s">
        <v>1356</v>
      </c>
      <c r="CT166" t="s">
        <v>2155</v>
      </c>
    </row>
    <row r="167" spans="1:98" x14ac:dyDescent="0.15">
      <c r="A167" t="s">
        <v>861</v>
      </c>
      <c r="B167" t="s">
        <v>862</v>
      </c>
      <c r="C167" t="s">
        <v>376</v>
      </c>
      <c r="D167" t="s">
        <v>376</v>
      </c>
      <c r="E167" t="s">
        <v>376</v>
      </c>
      <c r="F167" t="s">
        <v>863</v>
      </c>
      <c r="G167" t="s">
        <v>864</v>
      </c>
      <c r="H167" t="s">
        <v>865</v>
      </c>
      <c r="I167" t="s">
        <v>375</v>
      </c>
      <c r="J167" t="s">
        <v>2298</v>
      </c>
      <c r="K167" t="s">
        <v>977</v>
      </c>
      <c r="L167" t="s">
        <v>868</v>
      </c>
      <c r="N167" t="s">
        <v>861</v>
      </c>
      <c r="O167">
        <v>0</v>
      </c>
      <c r="P167" t="s">
        <v>2227</v>
      </c>
      <c r="Q167" t="s">
        <v>36</v>
      </c>
      <c r="R167" t="s">
        <v>2146</v>
      </c>
      <c r="S167" t="s">
        <v>979</v>
      </c>
      <c r="T167" t="s">
        <v>980</v>
      </c>
      <c r="U167" t="s">
        <v>980</v>
      </c>
      <c r="V167" t="s">
        <v>981</v>
      </c>
      <c r="Y167" t="s">
        <v>874</v>
      </c>
      <c r="Z167" t="s">
        <v>861</v>
      </c>
      <c r="AA167" t="s">
        <v>958</v>
      </c>
      <c r="AB167" t="s">
        <v>2299</v>
      </c>
      <c r="AD167" t="s">
        <v>2148</v>
      </c>
      <c r="AE167" t="s">
        <v>2229</v>
      </c>
      <c r="AF167" t="s">
        <v>983</v>
      </c>
      <c r="AG167" t="s">
        <v>888</v>
      </c>
      <c r="AH167" t="s">
        <v>984</v>
      </c>
      <c r="AI167" t="s">
        <v>2300</v>
      </c>
      <c r="AJ167" t="s">
        <v>861</v>
      </c>
      <c r="AK167" t="s">
        <v>880</v>
      </c>
      <c r="AL167" t="s">
        <v>913</v>
      </c>
      <c r="AM167" t="s">
        <v>986</v>
      </c>
      <c r="AP167" t="s">
        <v>883</v>
      </c>
      <c r="AQ167" t="s">
        <v>890</v>
      </c>
      <c r="AR167" t="s">
        <v>2300</v>
      </c>
      <c r="AS167" t="s">
        <v>890</v>
      </c>
      <c r="AT167" t="s">
        <v>890</v>
      </c>
      <c r="AU167" t="s">
        <v>886</v>
      </c>
      <c r="AW167" t="s">
        <v>890</v>
      </c>
      <c r="AX167" t="s">
        <v>890</v>
      </c>
      <c r="AZ167" t="s">
        <v>1382</v>
      </c>
      <c r="BA167" t="s">
        <v>988</v>
      </c>
      <c r="BK167" t="s">
        <v>891</v>
      </c>
      <c r="BL167">
        <v>400</v>
      </c>
      <c r="BM167">
        <v>66.72</v>
      </c>
      <c r="BN167">
        <v>9009</v>
      </c>
      <c r="BO167">
        <v>25465</v>
      </c>
      <c r="BP167">
        <v>25465</v>
      </c>
      <c r="BQ167">
        <v>25465</v>
      </c>
      <c r="BR167">
        <v>0</v>
      </c>
      <c r="BS167" t="s">
        <v>892</v>
      </c>
      <c r="BT167">
        <v>2064</v>
      </c>
      <c r="BV167" t="s">
        <v>2231</v>
      </c>
      <c r="BW167" t="s">
        <v>2232</v>
      </c>
      <c r="BX167" t="s">
        <v>895</v>
      </c>
      <c r="BY167" t="s">
        <v>991</v>
      </c>
      <c r="CG167" t="s">
        <v>2301</v>
      </c>
      <c r="CH167" t="s">
        <v>994</v>
      </c>
      <c r="CI167" t="s">
        <v>2301</v>
      </c>
      <c r="CJ167" t="s">
        <v>2301</v>
      </c>
      <c r="CP167" t="s">
        <v>981</v>
      </c>
      <c r="CT167" t="s">
        <v>2155</v>
      </c>
    </row>
    <row r="168" spans="1:98" x14ac:dyDescent="0.15">
      <c r="A168" t="s">
        <v>861</v>
      </c>
      <c r="B168" t="s">
        <v>862</v>
      </c>
      <c r="C168" t="s">
        <v>563</v>
      </c>
      <c r="D168" t="s">
        <v>563</v>
      </c>
      <c r="E168" t="s">
        <v>563</v>
      </c>
      <c r="F168" t="s">
        <v>863</v>
      </c>
      <c r="G168" t="s">
        <v>864</v>
      </c>
      <c r="H168" t="s">
        <v>916</v>
      </c>
      <c r="I168" t="s">
        <v>561</v>
      </c>
      <c r="J168" t="s">
        <v>2302</v>
      </c>
      <c r="K168" t="s">
        <v>977</v>
      </c>
      <c r="L168" t="s">
        <v>868</v>
      </c>
      <c r="N168" t="s">
        <v>861</v>
      </c>
      <c r="O168">
        <v>0</v>
      </c>
      <c r="P168" t="s">
        <v>2227</v>
      </c>
      <c r="Q168" t="s">
        <v>36</v>
      </c>
      <c r="R168" t="s">
        <v>2146</v>
      </c>
      <c r="S168" t="s">
        <v>979</v>
      </c>
      <c r="T168" t="s">
        <v>2303</v>
      </c>
      <c r="U168" t="s">
        <v>2303</v>
      </c>
      <c r="V168" t="s">
        <v>1371</v>
      </c>
      <c r="Y168" t="s">
        <v>874</v>
      </c>
      <c r="Z168" t="s">
        <v>861</v>
      </c>
      <c r="AA168" t="s">
        <v>958</v>
      </c>
      <c r="AB168" t="s">
        <v>2304</v>
      </c>
      <c r="AD168" t="s">
        <v>2148</v>
      </c>
      <c r="AE168" t="s">
        <v>2284</v>
      </c>
      <c r="AJ168" t="s">
        <v>861</v>
      </c>
      <c r="AK168" t="s">
        <v>880</v>
      </c>
      <c r="AL168" t="s">
        <v>913</v>
      </c>
      <c r="AM168" t="s">
        <v>986</v>
      </c>
      <c r="AP168" t="s">
        <v>987</v>
      </c>
      <c r="AQ168" t="s">
        <v>930</v>
      </c>
      <c r="AS168" t="s">
        <v>930</v>
      </c>
      <c r="AT168" t="s">
        <v>930</v>
      </c>
      <c r="AU168" t="s">
        <v>886</v>
      </c>
      <c r="AW168" t="s">
        <v>930</v>
      </c>
      <c r="AX168" t="s">
        <v>930</v>
      </c>
      <c r="AZ168" t="s">
        <v>1163</v>
      </c>
      <c r="BA168" t="s">
        <v>2305</v>
      </c>
      <c r="BK168" t="s">
        <v>891</v>
      </c>
      <c r="BL168">
        <v>380</v>
      </c>
      <c r="BM168">
        <v>67.22</v>
      </c>
      <c r="BN168">
        <v>8849</v>
      </c>
      <c r="BO168">
        <v>25455</v>
      </c>
      <c r="BP168">
        <v>25455</v>
      </c>
      <c r="BQ168">
        <v>25455</v>
      </c>
      <c r="BR168">
        <v>0</v>
      </c>
      <c r="BS168" t="s">
        <v>892</v>
      </c>
      <c r="BT168">
        <v>2064</v>
      </c>
      <c r="BV168" t="s">
        <v>2231</v>
      </c>
      <c r="BW168" t="s">
        <v>2285</v>
      </c>
      <c r="BX168" t="s">
        <v>895</v>
      </c>
      <c r="BY168" t="s">
        <v>2306</v>
      </c>
      <c r="CG168" t="s">
        <v>2307</v>
      </c>
      <c r="CH168" t="s">
        <v>994</v>
      </c>
      <c r="CI168" t="s">
        <v>2307</v>
      </c>
      <c r="CJ168" t="s">
        <v>2307</v>
      </c>
      <c r="CP168" t="s">
        <v>1250</v>
      </c>
      <c r="CT168" t="s">
        <v>2155</v>
      </c>
    </row>
    <row r="169" spans="1:98" x14ac:dyDescent="0.15">
      <c r="A169" t="s">
        <v>861</v>
      </c>
      <c r="B169" t="s">
        <v>862</v>
      </c>
      <c r="C169" t="s">
        <v>583</v>
      </c>
      <c r="D169" t="s">
        <v>583</v>
      </c>
      <c r="E169" t="s">
        <v>583</v>
      </c>
      <c r="F169" t="s">
        <v>863</v>
      </c>
      <c r="G169" t="s">
        <v>864</v>
      </c>
      <c r="H169" t="s">
        <v>916</v>
      </c>
      <c r="I169" t="s">
        <v>582</v>
      </c>
      <c r="J169" t="s">
        <v>2308</v>
      </c>
      <c r="K169" t="s">
        <v>977</v>
      </c>
      <c r="L169" t="s">
        <v>868</v>
      </c>
      <c r="N169" t="s">
        <v>861</v>
      </c>
      <c r="O169">
        <v>0</v>
      </c>
      <c r="P169" t="s">
        <v>2227</v>
      </c>
      <c r="Q169" t="s">
        <v>15</v>
      </c>
      <c r="R169" t="s">
        <v>2146</v>
      </c>
      <c r="S169" t="s">
        <v>954</v>
      </c>
      <c r="T169" t="s">
        <v>2253</v>
      </c>
      <c r="U169" t="s">
        <v>2253</v>
      </c>
      <c r="V169" t="s">
        <v>981</v>
      </c>
      <c r="W169" t="s">
        <v>2254</v>
      </c>
      <c r="Y169" t="s">
        <v>874</v>
      </c>
      <c r="Z169" t="s">
        <v>861</v>
      </c>
      <c r="AA169" t="s">
        <v>958</v>
      </c>
      <c r="AB169" t="s">
        <v>2309</v>
      </c>
      <c r="AD169" t="s">
        <v>2148</v>
      </c>
      <c r="AE169" t="s">
        <v>2229</v>
      </c>
      <c r="AJ169" t="s">
        <v>861</v>
      </c>
      <c r="AK169" t="s">
        <v>880</v>
      </c>
      <c r="AP169" t="s">
        <v>969</v>
      </c>
      <c r="AZ169" t="s">
        <v>2256</v>
      </c>
      <c r="BK169" t="s">
        <v>891</v>
      </c>
      <c r="BL169">
        <v>400</v>
      </c>
      <c r="BM169">
        <v>66.72</v>
      </c>
      <c r="BN169">
        <v>9009</v>
      </c>
      <c r="BO169">
        <v>25465</v>
      </c>
      <c r="BP169">
        <v>25465</v>
      </c>
      <c r="BQ169">
        <v>25465</v>
      </c>
      <c r="BR169">
        <v>0</v>
      </c>
      <c r="BS169" t="s">
        <v>892</v>
      </c>
      <c r="BT169">
        <v>3206</v>
      </c>
      <c r="BV169" t="s">
        <v>2231</v>
      </c>
      <c r="BW169" t="s">
        <v>2232</v>
      </c>
      <c r="BX169" t="s">
        <v>895</v>
      </c>
      <c r="BY169" t="s">
        <v>2310</v>
      </c>
      <c r="CG169" t="s">
        <v>2311</v>
      </c>
      <c r="CH169" t="s">
        <v>994</v>
      </c>
      <c r="CI169" t="s">
        <v>2311</v>
      </c>
      <c r="CJ169" t="s">
        <v>2311</v>
      </c>
      <c r="CP169" t="s">
        <v>1275</v>
      </c>
      <c r="CT169" t="s">
        <v>2155</v>
      </c>
    </row>
    <row r="170" spans="1:98" x14ac:dyDescent="0.15">
      <c r="A170" t="s">
        <v>861</v>
      </c>
      <c r="B170" t="s">
        <v>862</v>
      </c>
      <c r="C170" t="s">
        <v>565</v>
      </c>
      <c r="D170" t="s">
        <v>565</v>
      </c>
      <c r="E170" t="s">
        <v>583</v>
      </c>
      <c r="F170" t="s">
        <v>863</v>
      </c>
      <c r="G170" t="s">
        <v>864</v>
      </c>
      <c r="H170" t="s">
        <v>916</v>
      </c>
      <c r="I170" t="s">
        <v>564</v>
      </c>
      <c r="J170" t="s">
        <v>2308</v>
      </c>
      <c r="K170" t="s">
        <v>977</v>
      </c>
      <c r="L170" t="s">
        <v>868</v>
      </c>
      <c r="N170" t="s">
        <v>861</v>
      </c>
      <c r="O170">
        <v>0</v>
      </c>
      <c r="P170" t="s">
        <v>2227</v>
      </c>
      <c r="Q170" t="s">
        <v>15</v>
      </c>
      <c r="R170" t="s">
        <v>2146</v>
      </c>
      <c r="S170" t="s">
        <v>954</v>
      </c>
      <c r="T170" t="s">
        <v>2253</v>
      </c>
      <c r="U170" t="s">
        <v>2253</v>
      </c>
      <c r="V170" t="s">
        <v>981</v>
      </c>
      <c r="W170" t="s">
        <v>2254</v>
      </c>
      <c r="Y170" t="s">
        <v>874</v>
      </c>
      <c r="Z170" t="s">
        <v>861</v>
      </c>
      <c r="AA170" t="s">
        <v>958</v>
      </c>
      <c r="AB170" t="s">
        <v>2299</v>
      </c>
      <c r="AD170" t="s">
        <v>2148</v>
      </c>
      <c r="AE170" t="s">
        <v>2229</v>
      </c>
      <c r="AJ170" t="s">
        <v>861</v>
      </c>
      <c r="AK170" t="s">
        <v>880</v>
      </c>
      <c r="AP170" t="s">
        <v>969</v>
      </c>
      <c r="AZ170" t="s">
        <v>2256</v>
      </c>
      <c r="BK170" t="s">
        <v>891</v>
      </c>
      <c r="BL170">
        <v>390</v>
      </c>
      <c r="BM170">
        <v>69.95</v>
      </c>
      <c r="BN170">
        <v>9159</v>
      </c>
      <c r="BO170">
        <v>26505</v>
      </c>
      <c r="BP170">
        <v>26505</v>
      </c>
      <c r="BQ170">
        <v>26505</v>
      </c>
      <c r="BR170">
        <v>0</v>
      </c>
      <c r="BS170" t="s">
        <v>892</v>
      </c>
      <c r="BT170">
        <v>3176</v>
      </c>
      <c r="BV170" t="s">
        <v>2231</v>
      </c>
      <c r="BW170" t="s">
        <v>2232</v>
      </c>
      <c r="BX170" t="s">
        <v>895</v>
      </c>
      <c r="BY170" t="s">
        <v>2310</v>
      </c>
      <c r="CG170" t="s">
        <v>2311</v>
      </c>
      <c r="CH170" t="s">
        <v>994</v>
      </c>
      <c r="CI170" t="s">
        <v>2311</v>
      </c>
      <c r="CJ170" t="s">
        <v>2311</v>
      </c>
      <c r="CP170" t="s">
        <v>1275</v>
      </c>
      <c r="CT170" t="s">
        <v>2155</v>
      </c>
    </row>
    <row r="171" spans="1:98" x14ac:dyDescent="0.15">
      <c r="A171" t="s">
        <v>861</v>
      </c>
      <c r="B171" t="s">
        <v>862</v>
      </c>
      <c r="C171" t="s">
        <v>581</v>
      </c>
      <c r="D171" t="s">
        <v>581</v>
      </c>
      <c r="E171" t="s">
        <v>581</v>
      </c>
      <c r="F171" t="s">
        <v>863</v>
      </c>
      <c r="G171" t="s">
        <v>864</v>
      </c>
      <c r="H171" t="s">
        <v>916</v>
      </c>
      <c r="I171" t="s">
        <v>580</v>
      </c>
      <c r="J171" t="s">
        <v>2312</v>
      </c>
      <c r="K171" t="s">
        <v>977</v>
      </c>
      <c r="L171" t="s">
        <v>868</v>
      </c>
      <c r="N171" t="s">
        <v>861</v>
      </c>
      <c r="O171">
        <v>0</v>
      </c>
      <c r="P171" t="s">
        <v>2227</v>
      </c>
      <c r="Q171" t="s">
        <v>125</v>
      </c>
      <c r="R171" t="s">
        <v>2146</v>
      </c>
      <c r="S171" t="s">
        <v>871</v>
      </c>
      <c r="T171" t="s">
        <v>1274</v>
      </c>
      <c r="U171" t="s">
        <v>1274</v>
      </c>
      <c r="V171" t="s">
        <v>1292</v>
      </c>
      <c r="Y171" t="s">
        <v>874</v>
      </c>
      <c r="Z171" t="s">
        <v>861</v>
      </c>
      <c r="AA171" t="s">
        <v>958</v>
      </c>
      <c r="AB171" t="s">
        <v>2313</v>
      </c>
      <c r="AD171" t="s">
        <v>2272</v>
      </c>
      <c r="AE171" t="s">
        <v>2273</v>
      </c>
      <c r="AJ171" t="s">
        <v>861</v>
      </c>
      <c r="AK171" t="s">
        <v>880</v>
      </c>
      <c r="AL171" t="s">
        <v>913</v>
      </c>
      <c r="AM171" t="s">
        <v>882</v>
      </c>
      <c r="AP171" t="s">
        <v>1276</v>
      </c>
      <c r="AQ171" t="s">
        <v>1277</v>
      </c>
      <c r="AS171" t="s">
        <v>1277</v>
      </c>
      <c r="AT171" t="s">
        <v>1277</v>
      </c>
      <c r="AU171" t="s">
        <v>886</v>
      </c>
      <c r="AW171" t="s">
        <v>926</v>
      </c>
      <c r="AX171" t="s">
        <v>928</v>
      </c>
      <c r="AZ171" t="s">
        <v>1162</v>
      </c>
      <c r="BA171" t="s">
        <v>930</v>
      </c>
      <c r="BK171" t="s">
        <v>891</v>
      </c>
      <c r="BL171">
        <v>380</v>
      </c>
      <c r="BM171">
        <v>67.22</v>
      </c>
      <c r="BN171">
        <v>8849</v>
      </c>
      <c r="BO171">
        <v>25455</v>
      </c>
      <c r="BP171">
        <v>25455</v>
      </c>
      <c r="BQ171">
        <v>25455</v>
      </c>
      <c r="BR171">
        <v>0</v>
      </c>
      <c r="BS171" t="s">
        <v>892</v>
      </c>
      <c r="BT171">
        <v>3234.1</v>
      </c>
      <c r="BV171" t="s">
        <v>2274</v>
      </c>
      <c r="BW171" t="s">
        <v>2275</v>
      </c>
      <c r="BX171" t="s">
        <v>895</v>
      </c>
      <c r="BY171" t="s">
        <v>2314</v>
      </c>
      <c r="CG171" t="s">
        <v>2315</v>
      </c>
      <c r="CH171" t="s">
        <v>994</v>
      </c>
      <c r="CI171" t="s">
        <v>2315</v>
      </c>
      <c r="CJ171" t="s">
        <v>2315</v>
      </c>
      <c r="CP171" t="s">
        <v>981</v>
      </c>
      <c r="CT171" t="s">
        <v>2155</v>
      </c>
    </row>
    <row r="172" spans="1:98" x14ac:dyDescent="0.15">
      <c r="A172" t="s">
        <v>861</v>
      </c>
      <c r="B172" t="s">
        <v>862</v>
      </c>
      <c r="C172" t="s">
        <v>196</v>
      </c>
      <c r="D172" t="s">
        <v>196</v>
      </c>
      <c r="E172" t="s">
        <v>196</v>
      </c>
      <c r="F172" t="s">
        <v>863</v>
      </c>
      <c r="G172" t="s">
        <v>1025</v>
      </c>
      <c r="H172" t="s">
        <v>865</v>
      </c>
      <c r="I172" t="s">
        <v>195</v>
      </c>
      <c r="J172" t="s">
        <v>2316</v>
      </c>
      <c r="K172" t="s">
        <v>1481</v>
      </c>
      <c r="L172" t="s">
        <v>868</v>
      </c>
      <c r="N172" t="s">
        <v>1259</v>
      </c>
      <c r="O172">
        <v>0</v>
      </c>
      <c r="P172" t="s">
        <v>869</v>
      </c>
      <c r="Q172" t="s">
        <v>15</v>
      </c>
      <c r="R172" t="s">
        <v>870</v>
      </c>
      <c r="S172" t="s">
        <v>954</v>
      </c>
      <c r="T172" t="s">
        <v>1499</v>
      </c>
      <c r="U172" t="s">
        <v>1499</v>
      </c>
      <c r="V172" t="s">
        <v>1272</v>
      </c>
      <c r="W172" t="s">
        <v>1500</v>
      </c>
      <c r="Y172" t="s">
        <v>874</v>
      </c>
      <c r="Z172" t="s">
        <v>861</v>
      </c>
      <c r="AA172" t="s">
        <v>875</v>
      </c>
      <c r="AF172" t="s">
        <v>1501</v>
      </c>
      <c r="AG172" t="s">
        <v>2317</v>
      </c>
      <c r="AH172" t="s">
        <v>964</v>
      </c>
      <c r="AI172" t="s">
        <v>1513</v>
      </c>
      <c r="AJ172" t="s">
        <v>861</v>
      </c>
      <c r="AK172" t="s">
        <v>880</v>
      </c>
      <c r="AL172" t="s">
        <v>1001</v>
      </c>
      <c r="AM172" t="s">
        <v>967</v>
      </c>
      <c r="AP172" t="s">
        <v>1513</v>
      </c>
      <c r="AQ172" t="s">
        <v>1252</v>
      </c>
      <c r="AR172" t="s">
        <v>2318</v>
      </c>
      <c r="AS172" t="s">
        <v>1252</v>
      </c>
      <c r="AT172" t="s">
        <v>1252</v>
      </c>
      <c r="AU172" t="s">
        <v>886</v>
      </c>
      <c r="AW172" t="s">
        <v>999</v>
      </c>
      <c r="AX172" t="s">
        <v>1088</v>
      </c>
      <c r="AZ172" t="s">
        <v>1004</v>
      </c>
      <c r="BA172" t="s">
        <v>1226</v>
      </c>
      <c r="BK172" t="s">
        <v>1134</v>
      </c>
      <c r="BL172">
        <v>960</v>
      </c>
      <c r="BM172">
        <v>66.27</v>
      </c>
      <c r="BN172">
        <v>10482.5</v>
      </c>
      <c r="BO172">
        <v>27300</v>
      </c>
      <c r="BP172">
        <v>27300</v>
      </c>
      <c r="BQ172">
        <v>30130.66</v>
      </c>
      <c r="BR172">
        <v>2830.65</v>
      </c>
      <c r="BS172" t="s">
        <v>892</v>
      </c>
      <c r="BT172">
        <v>2827</v>
      </c>
      <c r="BV172" t="s">
        <v>1507</v>
      </c>
      <c r="BW172" t="s">
        <v>1508</v>
      </c>
      <c r="BX172" t="s">
        <v>895</v>
      </c>
      <c r="BY172" t="s">
        <v>2319</v>
      </c>
      <c r="CD172" t="s">
        <v>2320</v>
      </c>
      <c r="CG172" t="s">
        <v>2316</v>
      </c>
      <c r="CH172" t="s">
        <v>1495</v>
      </c>
      <c r="CI172" t="s">
        <v>2321</v>
      </c>
      <c r="CJ172" t="s">
        <v>2321</v>
      </c>
      <c r="CP172" t="s">
        <v>1272</v>
      </c>
      <c r="CT172" t="s">
        <v>901</v>
      </c>
    </row>
    <row r="173" spans="1:98" x14ac:dyDescent="0.15">
      <c r="A173" t="s">
        <v>861</v>
      </c>
      <c r="B173" t="s">
        <v>862</v>
      </c>
      <c r="C173" t="s">
        <v>240</v>
      </c>
      <c r="D173" t="s">
        <v>240</v>
      </c>
      <c r="E173" t="s">
        <v>240</v>
      </c>
      <c r="F173" t="s">
        <v>863</v>
      </c>
      <c r="G173" t="s">
        <v>1025</v>
      </c>
      <c r="H173" t="s">
        <v>1026</v>
      </c>
      <c r="I173" t="s">
        <v>239</v>
      </c>
      <c r="J173" t="s">
        <v>2322</v>
      </c>
      <c r="K173" t="s">
        <v>1481</v>
      </c>
      <c r="L173" t="s">
        <v>868</v>
      </c>
      <c r="N173" t="s">
        <v>861</v>
      </c>
      <c r="O173">
        <v>0</v>
      </c>
      <c r="P173" t="s">
        <v>869</v>
      </c>
      <c r="Q173" t="s">
        <v>15</v>
      </c>
      <c r="R173" t="s">
        <v>870</v>
      </c>
      <c r="S173" t="s">
        <v>954</v>
      </c>
      <c r="T173" t="s">
        <v>1499</v>
      </c>
      <c r="U173" t="s">
        <v>1499</v>
      </c>
      <c r="V173" t="s">
        <v>1272</v>
      </c>
      <c r="W173" t="s">
        <v>1500</v>
      </c>
      <c r="Y173" t="s">
        <v>874</v>
      </c>
      <c r="Z173" t="s">
        <v>861</v>
      </c>
      <c r="AA173" t="s">
        <v>875</v>
      </c>
      <c r="AF173" t="s">
        <v>1501</v>
      </c>
      <c r="AG173" t="s">
        <v>2323</v>
      </c>
      <c r="AH173" t="s">
        <v>964</v>
      </c>
      <c r="AI173" t="s">
        <v>1226</v>
      </c>
      <c r="AJ173" t="s">
        <v>861</v>
      </c>
      <c r="AK173" t="s">
        <v>880</v>
      </c>
      <c r="AL173" t="s">
        <v>1001</v>
      </c>
      <c r="AM173" t="s">
        <v>967</v>
      </c>
      <c r="AN173" t="s">
        <v>967</v>
      </c>
      <c r="AO173" t="s">
        <v>2324</v>
      </c>
      <c r="AP173" t="s">
        <v>1226</v>
      </c>
      <c r="AQ173" t="s">
        <v>1252</v>
      </c>
      <c r="AR173" t="s">
        <v>2325</v>
      </c>
      <c r="AS173" t="s">
        <v>1252</v>
      </c>
      <c r="AT173" t="s">
        <v>1252</v>
      </c>
      <c r="AU173" t="s">
        <v>886</v>
      </c>
      <c r="AW173" t="s">
        <v>999</v>
      </c>
      <c r="AX173" t="s">
        <v>1226</v>
      </c>
      <c r="AZ173" t="s">
        <v>883</v>
      </c>
      <c r="BA173" t="s">
        <v>1513</v>
      </c>
      <c r="BB173" t="s">
        <v>2326</v>
      </c>
      <c r="BH173" t="s">
        <v>2327</v>
      </c>
      <c r="BK173" t="s">
        <v>1134</v>
      </c>
      <c r="BL173">
        <v>846</v>
      </c>
      <c r="BM173">
        <v>63.8</v>
      </c>
      <c r="BN173">
        <v>6449.1</v>
      </c>
      <c r="BO173">
        <v>21040.13</v>
      </c>
      <c r="BP173">
        <v>21040.13</v>
      </c>
      <c r="BQ173">
        <v>23870.03</v>
      </c>
      <c r="BR173">
        <v>2829.89</v>
      </c>
      <c r="BS173" t="s">
        <v>892</v>
      </c>
      <c r="BT173">
        <v>2827</v>
      </c>
      <c r="BV173" t="s">
        <v>1507</v>
      </c>
      <c r="BW173" t="s">
        <v>1508</v>
      </c>
      <c r="BX173" t="s">
        <v>895</v>
      </c>
      <c r="BY173" t="s">
        <v>2319</v>
      </c>
      <c r="CD173" t="s">
        <v>2328</v>
      </c>
      <c r="CG173" t="s">
        <v>2322</v>
      </c>
      <c r="CH173" t="s">
        <v>1495</v>
      </c>
      <c r="CI173" t="s">
        <v>2329</v>
      </c>
      <c r="CJ173" t="s">
        <v>2329</v>
      </c>
      <c r="CM173" t="s">
        <v>1044</v>
      </c>
      <c r="CN173" t="s">
        <v>1045</v>
      </c>
      <c r="CO173" t="s">
        <v>2330</v>
      </c>
      <c r="CP173" t="s">
        <v>1272</v>
      </c>
      <c r="CT173" t="s">
        <v>901</v>
      </c>
    </row>
    <row r="174" spans="1:98" x14ac:dyDescent="0.15">
      <c r="A174" t="s">
        <v>861</v>
      </c>
      <c r="B174" t="s">
        <v>862</v>
      </c>
      <c r="C174" t="s">
        <v>236</v>
      </c>
      <c r="D174" t="s">
        <v>236</v>
      </c>
      <c r="E174" t="s">
        <v>236</v>
      </c>
      <c r="F174" t="s">
        <v>863</v>
      </c>
      <c r="G174" t="s">
        <v>1025</v>
      </c>
      <c r="H174" t="s">
        <v>865</v>
      </c>
      <c r="I174" t="s">
        <v>235</v>
      </c>
      <c r="J174" t="s">
        <v>2331</v>
      </c>
      <c r="K174" t="s">
        <v>1481</v>
      </c>
      <c r="L174" t="s">
        <v>868</v>
      </c>
      <c r="N174" t="s">
        <v>1259</v>
      </c>
      <c r="O174">
        <v>0</v>
      </c>
      <c r="P174" t="s">
        <v>869</v>
      </c>
      <c r="Q174" t="s">
        <v>15</v>
      </c>
      <c r="R174" t="s">
        <v>870</v>
      </c>
      <c r="S174" t="s">
        <v>954</v>
      </c>
      <c r="T174" t="s">
        <v>1499</v>
      </c>
      <c r="U174" t="s">
        <v>1499</v>
      </c>
      <c r="V174" t="s">
        <v>1272</v>
      </c>
      <c r="W174" t="s">
        <v>1500</v>
      </c>
      <c r="Y174" t="s">
        <v>874</v>
      </c>
      <c r="Z174" t="s">
        <v>861</v>
      </c>
      <c r="AA174" t="s">
        <v>875</v>
      </c>
      <c r="AF174" t="s">
        <v>1501</v>
      </c>
      <c r="AG174" t="s">
        <v>2332</v>
      </c>
      <c r="AH174" t="s">
        <v>964</v>
      </c>
      <c r="AI174" t="s">
        <v>1513</v>
      </c>
      <c r="AJ174" t="s">
        <v>861</v>
      </c>
      <c r="AK174" t="s">
        <v>880</v>
      </c>
      <c r="AL174" t="s">
        <v>1001</v>
      </c>
      <c r="AM174" t="s">
        <v>967</v>
      </c>
      <c r="AP174" t="s">
        <v>1513</v>
      </c>
      <c r="AQ174" t="s">
        <v>1252</v>
      </c>
      <c r="AR174" t="s">
        <v>2333</v>
      </c>
      <c r="AS174" t="s">
        <v>1252</v>
      </c>
      <c r="AT174" t="s">
        <v>1252</v>
      </c>
      <c r="AU174" t="s">
        <v>886</v>
      </c>
      <c r="AW174" t="s">
        <v>999</v>
      </c>
      <c r="AX174" t="s">
        <v>1226</v>
      </c>
      <c r="AZ174" t="s">
        <v>1004</v>
      </c>
      <c r="BA174" t="s">
        <v>1513</v>
      </c>
      <c r="BK174" t="s">
        <v>1134</v>
      </c>
      <c r="BL174">
        <v>855</v>
      </c>
      <c r="BM174">
        <v>63.61</v>
      </c>
      <c r="BN174">
        <v>13187.3</v>
      </c>
      <c r="BO174">
        <v>27939.23</v>
      </c>
      <c r="BP174">
        <v>27939.23</v>
      </c>
      <c r="BQ174">
        <v>30769.95</v>
      </c>
      <c r="BR174">
        <v>2830.72</v>
      </c>
      <c r="BS174" t="s">
        <v>892</v>
      </c>
      <c r="BT174">
        <v>2827</v>
      </c>
      <c r="BV174" t="s">
        <v>1507</v>
      </c>
      <c r="BW174" t="s">
        <v>1508</v>
      </c>
      <c r="BX174" t="s">
        <v>895</v>
      </c>
      <c r="BY174" t="s">
        <v>2319</v>
      </c>
      <c r="CD174" t="s">
        <v>2334</v>
      </c>
      <c r="CG174" t="s">
        <v>2331</v>
      </c>
      <c r="CH174" t="s">
        <v>1495</v>
      </c>
      <c r="CI174" t="s">
        <v>2335</v>
      </c>
      <c r="CJ174" t="s">
        <v>2335</v>
      </c>
      <c r="CP174" t="s">
        <v>1272</v>
      </c>
      <c r="CT174" t="s">
        <v>901</v>
      </c>
    </row>
    <row r="175" spans="1:98" x14ac:dyDescent="0.15">
      <c r="A175" t="s">
        <v>861</v>
      </c>
      <c r="B175" t="s">
        <v>862</v>
      </c>
      <c r="C175" t="s">
        <v>244</v>
      </c>
      <c r="D175" t="s">
        <v>244</v>
      </c>
      <c r="E175" t="s">
        <v>244</v>
      </c>
      <c r="F175" t="s">
        <v>863</v>
      </c>
      <c r="G175" t="s">
        <v>1025</v>
      </c>
      <c r="H175" t="s">
        <v>1026</v>
      </c>
      <c r="I175" t="s">
        <v>243</v>
      </c>
      <c r="J175" t="s">
        <v>2336</v>
      </c>
      <c r="K175" t="s">
        <v>1481</v>
      </c>
      <c r="L175" t="s">
        <v>868</v>
      </c>
      <c r="N175" t="s">
        <v>861</v>
      </c>
      <c r="O175">
        <v>0</v>
      </c>
      <c r="P175" t="s">
        <v>869</v>
      </c>
      <c r="Q175" t="s">
        <v>15</v>
      </c>
      <c r="R175" t="s">
        <v>870</v>
      </c>
      <c r="S175" t="s">
        <v>954</v>
      </c>
      <c r="T175" t="s">
        <v>1499</v>
      </c>
      <c r="U175" t="s">
        <v>1499</v>
      </c>
      <c r="V175" t="s">
        <v>1272</v>
      </c>
      <c r="W175" t="s">
        <v>1500</v>
      </c>
      <c r="Y175" t="s">
        <v>874</v>
      </c>
      <c r="Z175" t="s">
        <v>861</v>
      </c>
      <c r="AA175" t="s">
        <v>875</v>
      </c>
      <c r="AF175" t="s">
        <v>1501</v>
      </c>
      <c r="AG175" t="s">
        <v>2337</v>
      </c>
      <c r="AH175" t="s">
        <v>964</v>
      </c>
      <c r="AI175" t="s">
        <v>1226</v>
      </c>
      <c r="AJ175" t="s">
        <v>861</v>
      </c>
      <c r="AK175" t="s">
        <v>880</v>
      </c>
      <c r="AL175" t="s">
        <v>966</v>
      </c>
      <c r="AM175" t="s">
        <v>967</v>
      </c>
      <c r="AP175" t="s">
        <v>1226</v>
      </c>
      <c r="AQ175" t="s">
        <v>1252</v>
      </c>
      <c r="AR175" t="s">
        <v>2338</v>
      </c>
      <c r="AS175" t="s">
        <v>1252</v>
      </c>
      <c r="AT175" t="s">
        <v>1252</v>
      </c>
      <c r="AU175" t="s">
        <v>886</v>
      </c>
      <c r="AW175" t="s">
        <v>999</v>
      </c>
      <c r="AX175" t="s">
        <v>1264</v>
      </c>
      <c r="AZ175" t="s">
        <v>1002</v>
      </c>
      <c r="BA175" t="s">
        <v>957</v>
      </c>
      <c r="BB175" t="s">
        <v>2339</v>
      </c>
      <c r="BK175" t="s">
        <v>1134</v>
      </c>
      <c r="BL175">
        <v>401</v>
      </c>
      <c r="BM175">
        <v>66.069999999999993</v>
      </c>
      <c r="BN175">
        <v>24031.9</v>
      </c>
      <c r="BO175">
        <v>38529.769999999997</v>
      </c>
      <c r="BP175">
        <v>38529.769999999997</v>
      </c>
      <c r="BQ175">
        <v>41361.760000000002</v>
      </c>
      <c r="BR175">
        <v>2832</v>
      </c>
      <c r="BS175" t="s">
        <v>892</v>
      </c>
      <c r="BT175">
        <v>2827</v>
      </c>
      <c r="BV175" t="s">
        <v>1507</v>
      </c>
      <c r="BW175" t="s">
        <v>1508</v>
      </c>
      <c r="BX175" t="s">
        <v>895</v>
      </c>
      <c r="BY175" t="s">
        <v>2340</v>
      </c>
      <c r="CD175" t="s">
        <v>2328</v>
      </c>
      <c r="CG175" t="s">
        <v>2336</v>
      </c>
      <c r="CH175" t="s">
        <v>1495</v>
      </c>
      <c r="CI175" t="s">
        <v>2341</v>
      </c>
      <c r="CJ175" t="s">
        <v>2341</v>
      </c>
      <c r="CP175" t="s">
        <v>1272</v>
      </c>
      <c r="CT175" t="s">
        <v>901</v>
      </c>
    </row>
    <row r="176" spans="1:98" x14ac:dyDescent="0.15">
      <c r="A176" t="s">
        <v>861</v>
      </c>
      <c r="B176" t="s">
        <v>862</v>
      </c>
      <c r="C176" t="s">
        <v>459</v>
      </c>
      <c r="D176" t="s">
        <v>459</v>
      </c>
      <c r="E176" t="s">
        <v>459</v>
      </c>
      <c r="F176" t="s">
        <v>863</v>
      </c>
      <c r="G176" t="s">
        <v>1025</v>
      </c>
      <c r="H176" t="s">
        <v>1026</v>
      </c>
      <c r="I176" t="s">
        <v>458</v>
      </c>
      <c r="J176" t="s">
        <v>2342</v>
      </c>
      <c r="K176" t="s">
        <v>1481</v>
      </c>
      <c r="L176" t="s">
        <v>868</v>
      </c>
      <c r="N176" t="s">
        <v>861</v>
      </c>
      <c r="O176">
        <v>0</v>
      </c>
      <c r="P176" t="s">
        <v>869</v>
      </c>
      <c r="Q176" t="s">
        <v>15</v>
      </c>
      <c r="R176" t="s">
        <v>870</v>
      </c>
      <c r="S176" t="s">
        <v>954</v>
      </c>
      <c r="T176" t="s">
        <v>1499</v>
      </c>
      <c r="U176" t="s">
        <v>1499</v>
      </c>
      <c r="V176" t="s">
        <v>1272</v>
      </c>
      <c r="W176" t="s">
        <v>1500</v>
      </c>
      <c r="Y176" t="s">
        <v>874</v>
      </c>
      <c r="Z176" t="s">
        <v>861</v>
      </c>
      <c r="AA176" t="s">
        <v>875</v>
      </c>
      <c r="AF176" t="s">
        <v>1501</v>
      </c>
      <c r="AG176" t="s">
        <v>2343</v>
      </c>
      <c r="AH176" t="s">
        <v>964</v>
      </c>
      <c r="AI176" t="s">
        <v>1226</v>
      </c>
      <c r="AJ176" t="s">
        <v>861</v>
      </c>
      <c r="AK176" t="s">
        <v>880</v>
      </c>
      <c r="AL176" t="s">
        <v>966</v>
      </c>
      <c r="AM176" t="s">
        <v>967</v>
      </c>
      <c r="AN176" t="s">
        <v>967</v>
      </c>
      <c r="AO176" t="s">
        <v>2344</v>
      </c>
      <c r="AP176" t="s">
        <v>1226</v>
      </c>
      <c r="AQ176" t="s">
        <v>1252</v>
      </c>
      <c r="AR176" t="s">
        <v>2345</v>
      </c>
      <c r="AS176" t="s">
        <v>1252</v>
      </c>
      <c r="AT176" t="s">
        <v>1252</v>
      </c>
      <c r="AU176" t="s">
        <v>886</v>
      </c>
      <c r="AW176" t="s">
        <v>999</v>
      </c>
      <c r="AX176" t="s">
        <v>1264</v>
      </c>
      <c r="AZ176" t="s">
        <v>883</v>
      </c>
      <c r="BA176" t="s">
        <v>957</v>
      </c>
      <c r="BB176" t="s">
        <v>2346</v>
      </c>
      <c r="BK176" t="s">
        <v>1134</v>
      </c>
      <c r="BL176">
        <v>780</v>
      </c>
      <c r="BM176">
        <v>65.790000000000006</v>
      </c>
      <c r="BN176">
        <v>16748</v>
      </c>
      <c r="BO176">
        <v>24295.1</v>
      </c>
      <c r="BP176">
        <v>24295.1</v>
      </c>
      <c r="BQ176">
        <v>27125.38</v>
      </c>
      <c r="BR176">
        <v>2830.28</v>
      </c>
      <c r="BS176" t="s">
        <v>892</v>
      </c>
      <c r="BT176">
        <v>2827</v>
      </c>
      <c r="BV176" t="s">
        <v>1507</v>
      </c>
      <c r="BW176" t="s">
        <v>1508</v>
      </c>
      <c r="BX176" t="s">
        <v>895</v>
      </c>
      <c r="BY176" t="s">
        <v>2340</v>
      </c>
      <c r="CD176" t="s">
        <v>2334</v>
      </c>
      <c r="CG176" t="s">
        <v>2342</v>
      </c>
      <c r="CH176" t="s">
        <v>1495</v>
      </c>
      <c r="CI176" t="s">
        <v>2347</v>
      </c>
      <c r="CJ176" t="s">
        <v>2347</v>
      </c>
      <c r="CM176" t="s">
        <v>1044</v>
      </c>
      <c r="CN176" t="s">
        <v>1045</v>
      </c>
      <c r="CO176" t="s">
        <v>2348</v>
      </c>
      <c r="CP176" t="s">
        <v>1272</v>
      </c>
      <c r="CT176" t="s">
        <v>901</v>
      </c>
    </row>
    <row r="177" spans="1:98" x14ac:dyDescent="0.15">
      <c r="A177" t="s">
        <v>861</v>
      </c>
      <c r="B177" t="s">
        <v>862</v>
      </c>
      <c r="C177" t="s">
        <v>455</v>
      </c>
      <c r="D177" t="s">
        <v>455</v>
      </c>
      <c r="E177" t="s">
        <v>455</v>
      </c>
      <c r="F177" t="s">
        <v>863</v>
      </c>
      <c r="G177" t="s">
        <v>1025</v>
      </c>
      <c r="H177" t="s">
        <v>865</v>
      </c>
      <c r="I177" t="s">
        <v>454</v>
      </c>
      <c r="J177" t="s">
        <v>2349</v>
      </c>
      <c r="K177" t="s">
        <v>1481</v>
      </c>
      <c r="L177" t="s">
        <v>868</v>
      </c>
      <c r="N177" t="s">
        <v>861</v>
      </c>
      <c r="O177">
        <v>0</v>
      </c>
      <c r="P177" t="s">
        <v>869</v>
      </c>
      <c r="Q177" t="s">
        <v>15</v>
      </c>
      <c r="R177" t="s">
        <v>870</v>
      </c>
      <c r="S177" t="s">
        <v>954</v>
      </c>
      <c r="T177" t="s">
        <v>1499</v>
      </c>
      <c r="U177" t="s">
        <v>1499</v>
      </c>
      <c r="V177" t="s">
        <v>1272</v>
      </c>
      <c r="W177" t="s">
        <v>1500</v>
      </c>
      <c r="Y177" t="s">
        <v>874</v>
      </c>
      <c r="Z177" t="s">
        <v>861</v>
      </c>
      <c r="AA177" t="s">
        <v>875</v>
      </c>
      <c r="AF177" t="s">
        <v>1501</v>
      </c>
      <c r="AG177" t="s">
        <v>2350</v>
      </c>
      <c r="AH177" t="s">
        <v>964</v>
      </c>
      <c r="AI177" t="s">
        <v>1513</v>
      </c>
      <c r="AJ177" t="s">
        <v>861</v>
      </c>
      <c r="AK177" t="s">
        <v>880</v>
      </c>
      <c r="AL177" t="s">
        <v>966</v>
      </c>
      <c r="AM177" t="s">
        <v>967</v>
      </c>
      <c r="AP177" t="s">
        <v>1513</v>
      </c>
      <c r="AQ177" t="s">
        <v>1252</v>
      </c>
      <c r="AR177" t="s">
        <v>2351</v>
      </c>
      <c r="AS177" t="s">
        <v>1252</v>
      </c>
      <c r="AT177" t="s">
        <v>1252</v>
      </c>
      <c r="AU177" t="s">
        <v>886</v>
      </c>
      <c r="AW177" t="s">
        <v>999</v>
      </c>
      <c r="AX177" t="s">
        <v>1264</v>
      </c>
      <c r="AZ177" t="s">
        <v>1004</v>
      </c>
      <c r="BA177" t="s">
        <v>957</v>
      </c>
      <c r="BK177" t="s">
        <v>1134</v>
      </c>
      <c r="BL177">
        <v>549</v>
      </c>
      <c r="BM177">
        <v>61.14</v>
      </c>
      <c r="BN177">
        <v>6543.1</v>
      </c>
      <c r="BO177">
        <v>13476.32</v>
      </c>
      <c r="BP177">
        <v>13476.32</v>
      </c>
      <c r="BQ177">
        <v>16305.3</v>
      </c>
      <c r="BR177">
        <v>2828.97</v>
      </c>
      <c r="BS177" t="s">
        <v>892</v>
      </c>
      <c r="BT177">
        <v>2827</v>
      </c>
      <c r="BV177" t="s">
        <v>1507</v>
      </c>
      <c r="BW177" t="s">
        <v>1508</v>
      </c>
      <c r="BX177" t="s">
        <v>895</v>
      </c>
      <c r="BY177" t="s">
        <v>2340</v>
      </c>
      <c r="CD177" t="s">
        <v>2352</v>
      </c>
      <c r="CG177" t="s">
        <v>2349</v>
      </c>
      <c r="CH177" t="s">
        <v>1495</v>
      </c>
      <c r="CI177" t="s">
        <v>2353</v>
      </c>
      <c r="CJ177" t="s">
        <v>2353</v>
      </c>
      <c r="CP177" t="s">
        <v>1272</v>
      </c>
      <c r="CT177" t="s">
        <v>901</v>
      </c>
    </row>
    <row r="178" spans="1:98" x14ac:dyDescent="0.15">
      <c r="A178" t="s">
        <v>861</v>
      </c>
      <c r="B178" t="s">
        <v>862</v>
      </c>
      <c r="C178" t="s">
        <v>751</v>
      </c>
      <c r="D178" t="s">
        <v>751</v>
      </c>
      <c r="E178" t="s">
        <v>751</v>
      </c>
      <c r="F178" t="s">
        <v>863</v>
      </c>
      <c r="G178" t="s">
        <v>864</v>
      </c>
      <c r="H178" t="s">
        <v>863</v>
      </c>
      <c r="I178" t="s">
        <v>750</v>
      </c>
      <c r="J178" t="s">
        <v>2354</v>
      </c>
      <c r="K178" t="s">
        <v>977</v>
      </c>
      <c r="L178" t="s">
        <v>868</v>
      </c>
      <c r="N178" t="s">
        <v>861</v>
      </c>
      <c r="O178">
        <v>0</v>
      </c>
      <c r="P178" t="s">
        <v>869</v>
      </c>
      <c r="Q178" t="s">
        <v>15</v>
      </c>
      <c r="R178" t="s">
        <v>870</v>
      </c>
      <c r="S178" t="s">
        <v>954</v>
      </c>
      <c r="T178" t="s">
        <v>1274</v>
      </c>
      <c r="U178" t="s">
        <v>1274</v>
      </c>
      <c r="V178" t="s">
        <v>1240</v>
      </c>
      <c r="W178" t="s">
        <v>1267</v>
      </c>
      <c r="Y178" t="s">
        <v>874</v>
      </c>
      <c r="Z178" t="s">
        <v>861</v>
      </c>
      <c r="AA178" t="s">
        <v>922</v>
      </c>
      <c r="AJ178" t="s">
        <v>861</v>
      </c>
      <c r="AK178" t="s">
        <v>880</v>
      </c>
      <c r="AL178" t="s">
        <v>966</v>
      </c>
      <c r="AM178" t="s">
        <v>967</v>
      </c>
      <c r="AP178" t="s">
        <v>1276</v>
      </c>
      <c r="AQ178" t="s">
        <v>965</v>
      </c>
      <c r="AS178" t="s">
        <v>965</v>
      </c>
      <c r="AT178" t="s">
        <v>965</v>
      </c>
      <c r="AU178" t="s">
        <v>886</v>
      </c>
      <c r="AW178" t="s">
        <v>969</v>
      </c>
      <c r="AX178" t="s">
        <v>1003</v>
      </c>
      <c r="AZ178" t="s">
        <v>1051</v>
      </c>
      <c r="BA178" t="s">
        <v>925</v>
      </c>
      <c r="BK178" t="s">
        <v>1134</v>
      </c>
      <c r="BL178">
        <v>476</v>
      </c>
      <c r="BM178">
        <v>71.239999999999995</v>
      </c>
      <c r="BN178">
        <v>7412.4</v>
      </c>
      <c r="BO178">
        <v>17149.419999999998</v>
      </c>
      <c r="BP178">
        <v>17149.419999999998</v>
      </c>
      <c r="BQ178">
        <v>20037.84</v>
      </c>
      <c r="BR178">
        <v>2888.42</v>
      </c>
      <c r="BS178" t="s">
        <v>892</v>
      </c>
      <c r="BT178">
        <v>2886</v>
      </c>
      <c r="BV178" t="s">
        <v>2355</v>
      </c>
      <c r="BW178" t="s">
        <v>1529</v>
      </c>
      <c r="BX178" t="s">
        <v>895</v>
      </c>
      <c r="BY178" t="s">
        <v>1580</v>
      </c>
      <c r="CD178" t="s">
        <v>2356</v>
      </c>
      <c r="CG178" t="s">
        <v>2357</v>
      </c>
      <c r="CH178" t="s">
        <v>994</v>
      </c>
      <c r="CI178" t="s">
        <v>2357</v>
      </c>
      <c r="CJ178" t="s">
        <v>2357</v>
      </c>
      <c r="CP178" t="s">
        <v>1240</v>
      </c>
      <c r="CT178" t="s">
        <v>901</v>
      </c>
    </row>
    <row r="179" spans="1:98" x14ac:dyDescent="0.15">
      <c r="A179" t="s">
        <v>861</v>
      </c>
      <c r="B179" t="s">
        <v>862</v>
      </c>
      <c r="C179" t="s">
        <v>768</v>
      </c>
      <c r="D179" t="s">
        <v>768</v>
      </c>
      <c r="E179" t="s">
        <v>768</v>
      </c>
      <c r="F179" t="s">
        <v>863</v>
      </c>
      <c r="G179" t="s">
        <v>864</v>
      </c>
      <c r="H179" t="s">
        <v>863</v>
      </c>
      <c r="I179" t="s">
        <v>767</v>
      </c>
      <c r="J179" t="s">
        <v>2358</v>
      </c>
      <c r="K179" t="s">
        <v>977</v>
      </c>
      <c r="L179" t="s">
        <v>868</v>
      </c>
      <c r="N179" t="s">
        <v>1259</v>
      </c>
      <c r="O179">
        <v>0</v>
      </c>
      <c r="P179" t="s">
        <v>869</v>
      </c>
      <c r="Q179" t="s">
        <v>15</v>
      </c>
      <c r="R179" t="s">
        <v>870</v>
      </c>
      <c r="S179" t="s">
        <v>954</v>
      </c>
      <c r="T179" t="s">
        <v>1274</v>
      </c>
      <c r="U179" t="s">
        <v>1274</v>
      </c>
      <c r="V179" t="s">
        <v>1240</v>
      </c>
      <c r="W179" t="s">
        <v>1267</v>
      </c>
      <c r="Y179" t="s">
        <v>874</v>
      </c>
      <c r="Z179" t="s">
        <v>861</v>
      </c>
      <c r="AA179" t="s">
        <v>922</v>
      </c>
      <c r="AJ179" t="s">
        <v>861</v>
      </c>
      <c r="AK179" t="s">
        <v>880</v>
      </c>
      <c r="AL179" t="s">
        <v>966</v>
      </c>
      <c r="AM179" t="s">
        <v>967</v>
      </c>
      <c r="AP179" t="s">
        <v>1276</v>
      </c>
      <c r="AQ179" t="s">
        <v>965</v>
      </c>
      <c r="AS179" t="s">
        <v>965</v>
      </c>
      <c r="AT179" t="s">
        <v>965</v>
      </c>
      <c r="AU179" t="s">
        <v>886</v>
      </c>
      <c r="AW179" t="s">
        <v>969</v>
      </c>
      <c r="AX179" t="s">
        <v>1003</v>
      </c>
      <c r="AZ179" t="s">
        <v>1051</v>
      </c>
      <c r="BA179" t="s">
        <v>925</v>
      </c>
      <c r="BK179" t="s">
        <v>1134</v>
      </c>
      <c r="BL179">
        <v>587</v>
      </c>
      <c r="BM179">
        <v>64.459999999999994</v>
      </c>
      <c r="BN179">
        <v>10546</v>
      </c>
      <c r="BO179">
        <v>23875.81</v>
      </c>
      <c r="BP179">
        <v>23875.81</v>
      </c>
      <c r="BQ179">
        <v>26765.05</v>
      </c>
      <c r="BR179">
        <v>2889.24</v>
      </c>
      <c r="BS179" t="s">
        <v>892</v>
      </c>
      <c r="BT179">
        <v>2886</v>
      </c>
      <c r="BV179" t="s">
        <v>2355</v>
      </c>
      <c r="BW179" t="s">
        <v>1529</v>
      </c>
      <c r="BX179" t="s">
        <v>895</v>
      </c>
      <c r="BY179" t="s">
        <v>2359</v>
      </c>
      <c r="CD179" t="s">
        <v>2360</v>
      </c>
      <c r="CG179" t="s">
        <v>2361</v>
      </c>
      <c r="CH179" t="s">
        <v>994</v>
      </c>
      <c r="CI179" t="s">
        <v>2361</v>
      </c>
      <c r="CJ179" t="s">
        <v>2361</v>
      </c>
      <c r="CP179" t="s">
        <v>1240</v>
      </c>
      <c r="CT179" t="s">
        <v>901</v>
      </c>
    </row>
    <row r="180" spans="1:98" x14ac:dyDescent="0.15">
      <c r="A180" t="s">
        <v>861</v>
      </c>
      <c r="B180" t="s">
        <v>862</v>
      </c>
      <c r="C180" t="s">
        <v>764</v>
      </c>
      <c r="D180" t="s">
        <v>764</v>
      </c>
      <c r="E180" t="s">
        <v>764</v>
      </c>
      <c r="F180" t="s">
        <v>863</v>
      </c>
      <c r="G180" t="s">
        <v>864</v>
      </c>
      <c r="H180" t="s">
        <v>863</v>
      </c>
      <c r="I180" t="s">
        <v>763</v>
      </c>
      <c r="J180" t="s">
        <v>2362</v>
      </c>
      <c r="K180" t="s">
        <v>977</v>
      </c>
      <c r="L180" t="s">
        <v>868</v>
      </c>
      <c r="N180" t="s">
        <v>861</v>
      </c>
      <c r="O180">
        <v>0</v>
      </c>
      <c r="P180" t="s">
        <v>869</v>
      </c>
      <c r="Q180" t="s">
        <v>15</v>
      </c>
      <c r="R180" t="s">
        <v>870</v>
      </c>
      <c r="S180" t="s">
        <v>954</v>
      </c>
      <c r="T180" t="s">
        <v>1274</v>
      </c>
      <c r="U180" t="s">
        <v>1274</v>
      </c>
      <c r="V180" t="s">
        <v>1240</v>
      </c>
      <c r="W180" t="s">
        <v>1267</v>
      </c>
      <c r="Y180" t="s">
        <v>874</v>
      </c>
      <c r="Z180" t="s">
        <v>861</v>
      </c>
      <c r="AA180" t="s">
        <v>922</v>
      </c>
      <c r="AJ180" t="s">
        <v>861</v>
      </c>
      <c r="AK180" t="s">
        <v>880</v>
      </c>
      <c r="AL180" t="s">
        <v>966</v>
      </c>
      <c r="AM180" t="s">
        <v>967</v>
      </c>
      <c r="AP180" t="s">
        <v>1276</v>
      </c>
      <c r="AQ180" t="s">
        <v>965</v>
      </c>
      <c r="AS180" t="s">
        <v>965</v>
      </c>
      <c r="AT180" t="s">
        <v>965</v>
      </c>
      <c r="AU180" t="s">
        <v>886</v>
      </c>
      <c r="AW180" t="s">
        <v>969</v>
      </c>
      <c r="AX180" t="s">
        <v>925</v>
      </c>
      <c r="AZ180" t="s">
        <v>1051</v>
      </c>
      <c r="BA180" t="s">
        <v>1527</v>
      </c>
      <c r="BK180" t="s">
        <v>1134</v>
      </c>
      <c r="BL180">
        <v>601</v>
      </c>
      <c r="BM180">
        <v>68.14</v>
      </c>
      <c r="BN180">
        <v>13354.3</v>
      </c>
      <c r="BO180">
        <v>29274.33</v>
      </c>
      <c r="BP180">
        <v>29274.33</v>
      </c>
      <c r="BQ180">
        <v>32164.22</v>
      </c>
      <c r="BR180">
        <v>2889.89</v>
      </c>
      <c r="BS180" t="s">
        <v>892</v>
      </c>
      <c r="BT180">
        <v>2886</v>
      </c>
      <c r="BV180" t="s">
        <v>2355</v>
      </c>
      <c r="BW180" t="s">
        <v>1529</v>
      </c>
      <c r="BX180" t="s">
        <v>895</v>
      </c>
      <c r="BY180" t="s">
        <v>2359</v>
      </c>
      <c r="CD180" t="s">
        <v>2360</v>
      </c>
      <c r="CG180" t="s">
        <v>2363</v>
      </c>
      <c r="CH180" t="s">
        <v>994</v>
      </c>
      <c r="CI180" t="s">
        <v>2363</v>
      </c>
      <c r="CJ180" t="s">
        <v>2363</v>
      </c>
      <c r="CP180" t="s">
        <v>1240</v>
      </c>
      <c r="CT180" t="s">
        <v>901</v>
      </c>
    </row>
    <row r="181" spans="1:98" x14ac:dyDescent="0.15">
      <c r="A181" t="s">
        <v>861</v>
      </c>
      <c r="B181" t="s">
        <v>862</v>
      </c>
      <c r="C181" t="s">
        <v>766</v>
      </c>
      <c r="D181" t="s">
        <v>766</v>
      </c>
      <c r="E181" t="s">
        <v>766</v>
      </c>
      <c r="F181" t="s">
        <v>863</v>
      </c>
      <c r="G181" t="s">
        <v>864</v>
      </c>
      <c r="H181" t="s">
        <v>863</v>
      </c>
      <c r="I181" t="s">
        <v>765</v>
      </c>
      <c r="J181" t="s">
        <v>2364</v>
      </c>
      <c r="K181" t="s">
        <v>977</v>
      </c>
      <c r="L181" t="s">
        <v>868</v>
      </c>
      <c r="N181" t="s">
        <v>861</v>
      </c>
      <c r="O181">
        <v>0</v>
      </c>
      <c r="P181" t="s">
        <v>869</v>
      </c>
      <c r="Q181" t="s">
        <v>15</v>
      </c>
      <c r="R181" t="s">
        <v>870</v>
      </c>
      <c r="S181" t="s">
        <v>954</v>
      </c>
      <c r="T181" t="s">
        <v>1274</v>
      </c>
      <c r="U181" t="s">
        <v>1274</v>
      </c>
      <c r="V181" t="s">
        <v>1240</v>
      </c>
      <c r="W181" t="s">
        <v>1267</v>
      </c>
      <c r="Y181" t="s">
        <v>874</v>
      </c>
      <c r="Z181" t="s">
        <v>861</v>
      </c>
      <c r="AA181" t="s">
        <v>922</v>
      </c>
      <c r="AJ181" t="s">
        <v>861</v>
      </c>
      <c r="AK181" t="s">
        <v>880</v>
      </c>
      <c r="AL181" t="s">
        <v>966</v>
      </c>
      <c r="AM181" t="s">
        <v>967</v>
      </c>
      <c r="AP181" t="s">
        <v>1276</v>
      </c>
      <c r="AQ181" t="s">
        <v>965</v>
      </c>
      <c r="AS181" t="s">
        <v>965</v>
      </c>
      <c r="AT181" t="s">
        <v>965</v>
      </c>
      <c r="AU181" t="s">
        <v>886</v>
      </c>
      <c r="AW181" t="s">
        <v>969</v>
      </c>
      <c r="AX181" t="s">
        <v>925</v>
      </c>
      <c r="AZ181" t="s">
        <v>1051</v>
      </c>
      <c r="BA181" t="s">
        <v>1527</v>
      </c>
      <c r="BK181" t="s">
        <v>1134</v>
      </c>
      <c r="BL181">
        <v>1011</v>
      </c>
      <c r="BM181">
        <v>65.42</v>
      </c>
      <c r="BN181">
        <v>9390.5</v>
      </c>
      <c r="BO181">
        <v>28453.75</v>
      </c>
      <c r="BP181">
        <v>28453.75</v>
      </c>
      <c r="BQ181">
        <v>31343.55</v>
      </c>
      <c r="BR181">
        <v>2889.79</v>
      </c>
      <c r="BS181" t="s">
        <v>892</v>
      </c>
      <c r="BT181">
        <v>2886</v>
      </c>
      <c r="BV181" t="s">
        <v>2355</v>
      </c>
      <c r="BW181" t="s">
        <v>1529</v>
      </c>
      <c r="BX181" t="s">
        <v>895</v>
      </c>
      <c r="BY181" t="s">
        <v>2359</v>
      </c>
      <c r="CD181" t="s">
        <v>2365</v>
      </c>
      <c r="CG181" t="s">
        <v>2366</v>
      </c>
      <c r="CH181" t="s">
        <v>994</v>
      </c>
      <c r="CI181" t="s">
        <v>2366</v>
      </c>
      <c r="CJ181" t="s">
        <v>2366</v>
      </c>
      <c r="CP181" t="s">
        <v>1240</v>
      </c>
      <c r="CT181" t="s">
        <v>901</v>
      </c>
    </row>
    <row r="182" spans="1:98" x14ac:dyDescent="0.15">
      <c r="A182" t="s">
        <v>861</v>
      </c>
      <c r="B182" t="s">
        <v>862</v>
      </c>
      <c r="C182" t="s">
        <v>475</v>
      </c>
      <c r="D182" t="s">
        <v>475</v>
      </c>
      <c r="E182" t="s">
        <v>475</v>
      </c>
      <c r="F182" t="s">
        <v>863</v>
      </c>
      <c r="G182" t="s">
        <v>1025</v>
      </c>
      <c r="H182" t="s">
        <v>865</v>
      </c>
      <c r="I182" t="s">
        <v>474</v>
      </c>
      <c r="J182" t="s">
        <v>2367</v>
      </c>
      <c r="K182" t="s">
        <v>2368</v>
      </c>
      <c r="L182" t="s">
        <v>868</v>
      </c>
      <c r="N182" t="s">
        <v>861</v>
      </c>
      <c r="O182">
        <v>0</v>
      </c>
      <c r="P182" t="s">
        <v>918</v>
      </c>
      <c r="Q182" t="s">
        <v>15</v>
      </c>
      <c r="R182" t="s">
        <v>919</v>
      </c>
      <c r="S182" t="s">
        <v>954</v>
      </c>
      <c r="T182" t="s">
        <v>2369</v>
      </c>
      <c r="U182" t="s">
        <v>2369</v>
      </c>
      <c r="V182" t="s">
        <v>956</v>
      </c>
      <c r="W182" t="s">
        <v>1252</v>
      </c>
      <c r="Y182" t="s">
        <v>874</v>
      </c>
      <c r="Z182" t="s">
        <v>861</v>
      </c>
      <c r="AA182" t="s">
        <v>875</v>
      </c>
      <c r="AD182" t="s">
        <v>869</v>
      </c>
      <c r="AE182" t="s">
        <v>2370</v>
      </c>
      <c r="AF182" t="s">
        <v>2371</v>
      </c>
      <c r="AG182" t="s">
        <v>2372</v>
      </c>
      <c r="AH182" t="s">
        <v>964</v>
      </c>
      <c r="AI182" t="s">
        <v>883</v>
      </c>
      <c r="AJ182" t="s">
        <v>861</v>
      </c>
      <c r="AK182" t="s">
        <v>880</v>
      </c>
      <c r="AL182" t="s">
        <v>966</v>
      </c>
      <c r="AM182" t="s">
        <v>967</v>
      </c>
      <c r="AP182" t="s">
        <v>883</v>
      </c>
      <c r="AQ182" t="s">
        <v>957</v>
      </c>
      <c r="AR182" t="s">
        <v>2373</v>
      </c>
      <c r="AS182" t="s">
        <v>957</v>
      </c>
      <c r="AT182" t="s">
        <v>957</v>
      </c>
      <c r="AU182" t="s">
        <v>886</v>
      </c>
      <c r="AW182" t="s">
        <v>1267</v>
      </c>
      <c r="AX182" t="s">
        <v>883</v>
      </c>
      <c r="AZ182" t="s">
        <v>969</v>
      </c>
      <c r="BA182" t="s">
        <v>1004</v>
      </c>
      <c r="BK182" t="s">
        <v>1134</v>
      </c>
      <c r="BL182">
        <v>470</v>
      </c>
      <c r="BM182">
        <v>66.83</v>
      </c>
      <c r="BN182">
        <v>11702</v>
      </c>
      <c r="BO182">
        <v>22635.7</v>
      </c>
      <c r="BP182">
        <v>22635.7</v>
      </c>
      <c r="BQ182">
        <v>25514.79</v>
      </c>
      <c r="BR182">
        <v>2879.09</v>
      </c>
      <c r="BS182" t="s">
        <v>892</v>
      </c>
      <c r="BT182">
        <v>2876</v>
      </c>
      <c r="BV182" t="s">
        <v>2374</v>
      </c>
      <c r="BW182" t="s">
        <v>932</v>
      </c>
      <c r="BX182" t="s">
        <v>895</v>
      </c>
      <c r="BY182" t="s">
        <v>2375</v>
      </c>
      <c r="CD182" t="s">
        <v>2376</v>
      </c>
      <c r="CG182" t="s">
        <v>2367</v>
      </c>
      <c r="CH182" t="s">
        <v>2377</v>
      </c>
      <c r="CI182" t="s">
        <v>2367</v>
      </c>
      <c r="CJ182" t="s">
        <v>2367</v>
      </c>
      <c r="CP182" t="s">
        <v>1706</v>
      </c>
      <c r="CT182" t="s">
        <v>901</v>
      </c>
    </row>
    <row r="183" spans="1:98" x14ac:dyDescent="0.15">
      <c r="A183" t="s">
        <v>861</v>
      </c>
      <c r="B183" t="s">
        <v>862</v>
      </c>
      <c r="C183" t="s">
        <v>327</v>
      </c>
      <c r="D183" t="s">
        <v>327</v>
      </c>
      <c r="E183" t="s">
        <v>327</v>
      </c>
      <c r="F183" t="s">
        <v>863</v>
      </c>
      <c r="G183" t="s">
        <v>1025</v>
      </c>
      <c r="H183" t="s">
        <v>865</v>
      </c>
      <c r="I183" t="s">
        <v>325</v>
      </c>
      <c r="J183" t="s">
        <v>2378</v>
      </c>
      <c r="K183" t="s">
        <v>977</v>
      </c>
      <c r="L183" t="s">
        <v>868</v>
      </c>
      <c r="N183" t="s">
        <v>861</v>
      </c>
      <c r="O183">
        <v>0</v>
      </c>
      <c r="P183" t="s">
        <v>978</v>
      </c>
      <c r="Q183" t="s">
        <v>36</v>
      </c>
      <c r="R183" t="s">
        <v>919</v>
      </c>
      <c r="S183" t="s">
        <v>979</v>
      </c>
      <c r="T183" t="s">
        <v>2379</v>
      </c>
      <c r="U183" t="s">
        <v>2379</v>
      </c>
      <c r="V183" t="s">
        <v>2380</v>
      </c>
      <c r="W183" t="s">
        <v>1079</v>
      </c>
      <c r="Y183" t="s">
        <v>874</v>
      </c>
      <c r="Z183" t="s">
        <v>861</v>
      </c>
      <c r="AA183" t="s">
        <v>958</v>
      </c>
      <c r="AB183" t="s">
        <v>2381</v>
      </c>
      <c r="AF183" t="s">
        <v>2382</v>
      </c>
      <c r="AG183" t="s">
        <v>1132</v>
      </c>
      <c r="AH183" t="s">
        <v>984</v>
      </c>
      <c r="AI183" t="s">
        <v>2383</v>
      </c>
      <c r="AJ183" t="s">
        <v>861</v>
      </c>
      <c r="AK183" t="s">
        <v>880</v>
      </c>
      <c r="AL183" t="s">
        <v>913</v>
      </c>
      <c r="AM183" t="s">
        <v>986</v>
      </c>
      <c r="AN183" t="s">
        <v>986</v>
      </c>
      <c r="AO183" t="s">
        <v>2384</v>
      </c>
      <c r="AP183" t="s">
        <v>1252</v>
      </c>
      <c r="AQ183" t="s">
        <v>890</v>
      </c>
      <c r="AR183" t="s">
        <v>888</v>
      </c>
      <c r="AS183" t="s">
        <v>890</v>
      </c>
      <c r="AT183" t="s">
        <v>890</v>
      </c>
      <c r="AU183" t="s">
        <v>886</v>
      </c>
      <c r="AW183" t="s">
        <v>890</v>
      </c>
      <c r="AX183" t="s">
        <v>890</v>
      </c>
      <c r="AZ183" t="s">
        <v>1577</v>
      </c>
      <c r="BA183" t="s">
        <v>988</v>
      </c>
      <c r="BK183" t="s">
        <v>891</v>
      </c>
      <c r="BL183">
        <v>823</v>
      </c>
      <c r="BM183">
        <v>66.739999999999995</v>
      </c>
      <c r="BN183">
        <v>9183.7000000000007</v>
      </c>
      <c r="BO183">
        <v>42929.17</v>
      </c>
      <c r="BP183">
        <v>42929.17</v>
      </c>
      <c r="BQ183">
        <v>42929.17</v>
      </c>
      <c r="BR183">
        <v>0</v>
      </c>
      <c r="BS183" t="s">
        <v>892</v>
      </c>
      <c r="BT183">
        <v>1764</v>
      </c>
      <c r="BV183" t="s">
        <v>2385</v>
      </c>
      <c r="BW183" t="s">
        <v>2386</v>
      </c>
      <c r="BX183" t="s">
        <v>895</v>
      </c>
      <c r="BY183" t="s">
        <v>2387</v>
      </c>
      <c r="CD183" t="s">
        <v>2388</v>
      </c>
      <c r="CG183" t="s">
        <v>2389</v>
      </c>
      <c r="CH183" t="s">
        <v>994</v>
      </c>
      <c r="CI183" t="s">
        <v>2389</v>
      </c>
      <c r="CJ183" t="s">
        <v>2389</v>
      </c>
      <c r="CM183" t="s">
        <v>1044</v>
      </c>
      <c r="CN183" t="s">
        <v>1045</v>
      </c>
      <c r="CO183" t="s">
        <v>2390</v>
      </c>
      <c r="CP183" t="s">
        <v>2380</v>
      </c>
      <c r="CT183" t="s">
        <v>901</v>
      </c>
    </row>
    <row r="184" spans="1:98" x14ac:dyDescent="0.15">
      <c r="A184" t="s">
        <v>861</v>
      </c>
      <c r="B184" t="s">
        <v>862</v>
      </c>
      <c r="C184" t="s">
        <v>383</v>
      </c>
      <c r="D184" t="s">
        <v>383</v>
      </c>
      <c r="E184" t="s">
        <v>383</v>
      </c>
      <c r="F184" t="s">
        <v>863</v>
      </c>
      <c r="G184" t="s">
        <v>1025</v>
      </c>
      <c r="H184" t="s">
        <v>1026</v>
      </c>
      <c r="I184" t="s">
        <v>381</v>
      </c>
      <c r="J184" t="s">
        <v>2391</v>
      </c>
      <c r="K184" t="s">
        <v>977</v>
      </c>
      <c r="L184" t="s">
        <v>868</v>
      </c>
      <c r="N184" t="s">
        <v>861</v>
      </c>
      <c r="O184">
        <v>0</v>
      </c>
      <c r="P184" t="s">
        <v>978</v>
      </c>
      <c r="Q184" t="s">
        <v>36</v>
      </c>
      <c r="R184" t="s">
        <v>919</v>
      </c>
      <c r="S184" t="s">
        <v>979</v>
      </c>
      <c r="T184" t="s">
        <v>1292</v>
      </c>
      <c r="U184" t="s">
        <v>1292</v>
      </c>
      <c r="V184" t="s">
        <v>1272</v>
      </c>
      <c r="W184" t="s">
        <v>1320</v>
      </c>
      <c r="Y184" t="s">
        <v>874</v>
      </c>
      <c r="Z184" t="s">
        <v>861</v>
      </c>
      <c r="AA184" t="s">
        <v>875</v>
      </c>
      <c r="AF184" t="s">
        <v>2392</v>
      </c>
      <c r="AG184" t="s">
        <v>1240</v>
      </c>
      <c r="AH184" t="s">
        <v>1129</v>
      </c>
      <c r="AI184" t="s">
        <v>2393</v>
      </c>
      <c r="AJ184" t="s">
        <v>861</v>
      </c>
      <c r="AK184" t="s">
        <v>880</v>
      </c>
      <c r="AL184" t="s">
        <v>913</v>
      </c>
      <c r="AM184" t="s">
        <v>986</v>
      </c>
      <c r="AN184" t="s">
        <v>986</v>
      </c>
      <c r="AO184" t="s">
        <v>2394</v>
      </c>
      <c r="AP184" t="s">
        <v>2393</v>
      </c>
      <c r="AQ184" t="s">
        <v>1240</v>
      </c>
      <c r="AR184" t="s">
        <v>1464</v>
      </c>
      <c r="AS184" t="s">
        <v>1240</v>
      </c>
      <c r="AT184" t="s">
        <v>1240</v>
      </c>
      <c r="AU184" t="s">
        <v>886</v>
      </c>
      <c r="AW184" t="s">
        <v>1240</v>
      </c>
      <c r="AX184" t="s">
        <v>1240</v>
      </c>
      <c r="AZ184" t="s">
        <v>957</v>
      </c>
      <c r="BA184" t="s">
        <v>1234</v>
      </c>
      <c r="BB184" t="s">
        <v>1128</v>
      </c>
      <c r="BK184" t="s">
        <v>891</v>
      </c>
      <c r="BL184">
        <v>730</v>
      </c>
      <c r="BM184">
        <v>61.03</v>
      </c>
      <c r="BN184">
        <v>9894.5</v>
      </c>
      <c r="BO184">
        <v>47379.7</v>
      </c>
      <c r="BP184">
        <v>47379.7</v>
      </c>
      <c r="BQ184">
        <v>47379.7</v>
      </c>
      <c r="BR184">
        <v>0</v>
      </c>
      <c r="BS184" t="s">
        <v>892</v>
      </c>
      <c r="BT184">
        <v>1814</v>
      </c>
      <c r="BV184" t="s">
        <v>2395</v>
      </c>
      <c r="BW184" t="s">
        <v>2396</v>
      </c>
      <c r="BX184" t="s">
        <v>895</v>
      </c>
      <c r="BY184" t="s">
        <v>2397</v>
      </c>
      <c r="CD184" t="s">
        <v>2398</v>
      </c>
      <c r="CG184" t="s">
        <v>2399</v>
      </c>
      <c r="CH184" t="s">
        <v>994</v>
      </c>
      <c r="CI184" t="s">
        <v>2399</v>
      </c>
      <c r="CJ184" t="s">
        <v>2399</v>
      </c>
      <c r="CM184" t="s">
        <v>1044</v>
      </c>
      <c r="CN184" t="s">
        <v>1045</v>
      </c>
      <c r="CO184" t="s">
        <v>2400</v>
      </c>
      <c r="CP184" t="s">
        <v>1272</v>
      </c>
      <c r="CT184" t="s">
        <v>901</v>
      </c>
    </row>
    <row r="185" spans="1:98" x14ac:dyDescent="0.15">
      <c r="A185" t="s">
        <v>861</v>
      </c>
      <c r="B185" t="s">
        <v>862</v>
      </c>
      <c r="C185" t="s">
        <v>232</v>
      </c>
      <c r="D185" t="s">
        <v>232</v>
      </c>
      <c r="E185" t="s">
        <v>232</v>
      </c>
      <c r="F185" t="s">
        <v>863</v>
      </c>
      <c r="G185" t="s">
        <v>1025</v>
      </c>
      <c r="H185" t="s">
        <v>1026</v>
      </c>
      <c r="I185" t="s">
        <v>231</v>
      </c>
      <c r="J185" t="s">
        <v>2401</v>
      </c>
      <c r="K185" t="s">
        <v>1481</v>
      </c>
      <c r="L185" t="s">
        <v>868</v>
      </c>
      <c r="N185" t="s">
        <v>861</v>
      </c>
      <c r="O185">
        <v>0</v>
      </c>
      <c r="P185" t="s">
        <v>869</v>
      </c>
      <c r="Q185" t="s">
        <v>36</v>
      </c>
      <c r="R185" t="s">
        <v>870</v>
      </c>
      <c r="S185" t="s">
        <v>979</v>
      </c>
      <c r="T185" t="s">
        <v>2402</v>
      </c>
      <c r="U185" t="s">
        <v>2402</v>
      </c>
      <c r="V185" t="s">
        <v>1024</v>
      </c>
      <c r="Y185" t="s">
        <v>910</v>
      </c>
      <c r="Z185" t="s">
        <v>861</v>
      </c>
      <c r="AA185" t="s">
        <v>958</v>
      </c>
      <c r="AB185" t="s">
        <v>2403</v>
      </c>
      <c r="AD185" t="s">
        <v>2210</v>
      </c>
      <c r="AF185" t="s">
        <v>2404</v>
      </c>
      <c r="AG185" t="s">
        <v>2405</v>
      </c>
      <c r="AH185" t="s">
        <v>2406</v>
      </c>
      <c r="AI185" t="s">
        <v>2407</v>
      </c>
      <c r="AJ185" t="s">
        <v>861</v>
      </c>
      <c r="AK185" t="s">
        <v>880</v>
      </c>
      <c r="AL185" t="s">
        <v>913</v>
      </c>
      <c r="AM185" t="s">
        <v>986</v>
      </c>
      <c r="AN185" t="s">
        <v>986</v>
      </c>
      <c r="AO185" t="s">
        <v>2408</v>
      </c>
      <c r="AP185" t="s">
        <v>1226</v>
      </c>
      <c r="AQ185" t="s">
        <v>1028</v>
      </c>
      <c r="AR185" t="s">
        <v>2409</v>
      </c>
      <c r="AS185" t="s">
        <v>1028</v>
      </c>
      <c r="AT185" t="s">
        <v>1028</v>
      </c>
      <c r="AU185" t="s">
        <v>886</v>
      </c>
      <c r="AW185" t="s">
        <v>1028</v>
      </c>
      <c r="AX185" t="s">
        <v>1028</v>
      </c>
      <c r="AZ185" t="s">
        <v>883</v>
      </c>
      <c r="BA185" t="s">
        <v>1340</v>
      </c>
      <c r="BB185" t="s">
        <v>2410</v>
      </c>
      <c r="BK185" t="s">
        <v>1134</v>
      </c>
      <c r="BL185">
        <v>1212</v>
      </c>
      <c r="BM185">
        <v>65.44</v>
      </c>
      <c r="BN185">
        <v>13665</v>
      </c>
      <c r="BO185">
        <v>33139.35</v>
      </c>
      <c r="BP185">
        <v>33139.35</v>
      </c>
      <c r="BQ185">
        <v>34994.589999999997</v>
      </c>
      <c r="BR185">
        <v>1855.23</v>
      </c>
      <c r="BS185" t="s">
        <v>892</v>
      </c>
      <c r="BT185">
        <v>1851</v>
      </c>
      <c r="BV185" t="s">
        <v>2411</v>
      </c>
      <c r="BW185" t="s">
        <v>2412</v>
      </c>
      <c r="BX185" t="s">
        <v>895</v>
      </c>
      <c r="BY185" t="s">
        <v>2413</v>
      </c>
      <c r="CD185" t="s">
        <v>2414</v>
      </c>
      <c r="CG185" t="s">
        <v>2401</v>
      </c>
      <c r="CH185" t="s">
        <v>1495</v>
      </c>
      <c r="CI185" t="s">
        <v>2415</v>
      </c>
      <c r="CJ185" t="s">
        <v>2415</v>
      </c>
      <c r="CM185" t="s">
        <v>1044</v>
      </c>
      <c r="CN185" t="s">
        <v>1045</v>
      </c>
      <c r="CO185" t="s">
        <v>2416</v>
      </c>
      <c r="CP185" t="s">
        <v>1024</v>
      </c>
      <c r="CT185" t="s">
        <v>901</v>
      </c>
    </row>
    <row r="186" spans="1:98" x14ac:dyDescent="0.15">
      <c r="A186" t="s">
        <v>861</v>
      </c>
      <c r="B186" t="s">
        <v>862</v>
      </c>
      <c r="C186" t="s">
        <v>246</v>
      </c>
      <c r="D186" t="s">
        <v>246</v>
      </c>
      <c r="E186" t="s">
        <v>246</v>
      </c>
      <c r="F186" t="s">
        <v>863</v>
      </c>
      <c r="G186" t="s">
        <v>1025</v>
      </c>
      <c r="H186" t="s">
        <v>1026</v>
      </c>
      <c r="I186" t="s">
        <v>245</v>
      </c>
      <c r="J186" t="s">
        <v>2417</v>
      </c>
      <c r="K186" t="s">
        <v>1481</v>
      </c>
      <c r="L186" t="s">
        <v>868</v>
      </c>
      <c r="N186" t="s">
        <v>861</v>
      </c>
      <c r="O186">
        <v>0</v>
      </c>
      <c r="P186" t="s">
        <v>869</v>
      </c>
      <c r="Q186" t="s">
        <v>36</v>
      </c>
      <c r="R186" t="s">
        <v>870</v>
      </c>
      <c r="S186" t="s">
        <v>979</v>
      </c>
      <c r="T186" t="s">
        <v>2402</v>
      </c>
      <c r="U186" t="s">
        <v>2402</v>
      </c>
      <c r="V186" t="s">
        <v>1024</v>
      </c>
      <c r="Y186" t="s">
        <v>874</v>
      </c>
      <c r="Z186" t="s">
        <v>861</v>
      </c>
      <c r="AA186" t="s">
        <v>958</v>
      </c>
      <c r="AB186" t="s">
        <v>2418</v>
      </c>
      <c r="AF186" t="s">
        <v>2404</v>
      </c>
      <c r="AG186" t="s">
        <v>2419</v>
      </c>
      <c r="AH186" t="s">
        <v>2406</v>
      </c>
      <c r="AI186" t="s">
        <v>2420</v>
      </c>
      <c r="AJ186" t="s">
        <v>861</v>
      </c>
      <c r="AK186" t="s">
        <v>880</v>
      </c>
      <c r="AL186" t="s">
        <v>913</v>
      </c>
      <c r="AM186" t="s">
        <v>986</v>
      </c>
      <c r="AN186" t="s">
        <v>986</v>
      </c>
      <c r="AO186" t="s">
        <v>2421</v>
      </c>
      <c r="AP186" t="s">
        <v>1226</v>
      </c>
      <c r="AQ186" t="s">
        <v>1028</v>
      </c>
      <c r="AR186" t="s">
        <v>2422</v>
      </c>
      <c r="AS186" t="s">
        <v>1028</v>
      </c>
      <c r="AT186" t="s">
        <v>1028</v>
      </c>
      <c r="AU186" t="s">
        <v>886</v>
      </c>
      <c r="AW186" t="s">
        <v>1028</v>
      </c>
      <c r="AX186" t="s">
        <v>1028</v>
      </c>
      <c r="AZ186" t="s">
        <v>1004</v>
      </c>
      <c r="BA186" t="s">
        <v>1340</v>
      </c>
      <c r="BB186" t="s">
        <v>2423</v>
      </c>
      <c r="BK186" t="s">
        <v>1134</v>
      </c>
      <c r="BL186">
        <v>800</v>
      </c>
      <c r="BM186">
        <v>73.08</v>
      </c>
      <c r="BN186">
        <v>8662</v>
      </c>
      <c r="BO186">
        <v>17677.18</v>
      </c>
      <c r="BP186">
        <v>17677.18</v>
      </c>
      <c r="BQ186">
        <v>19530.54</v>
      </c>
      <c r="BR186">
        <v>1853.36</v>
      </c>
      <c r="BS186" t="s">
        <v>892</v>
      </c>
      <c r="BT186">
        <v>1851</v>
      </c>
      <c r="BV186" t="s">
        <v>2411</v>
      </c>
      <c r="BW186" t="s">
        <v>2412</v>
      </c>
      <c r="BX186" t="s">
        <v>895</v>
      </c>
      <c r="BY186" t="s">
        <v>2424</v>
      </c>
      <c r="CD186" t="s">
        <v>2425</v>
      </c>
      <c r="CG186" t="s">
        <v>2417</v>
      </c>
      <c r="CH186" t="s">
        <v>1495</v>
      </c>
      <c r="CI186" t="s">
        <v>2426</v>
      </c>
      <c r="CJ186" t="s">
        <v>2426</v>
      </c>
      <c r="CM186" t="s">
        <v>1044</v>
      </c>
      <c r="CN186" t="s">
        <v>1045</v>
      </c>
      <c r="CO186" t="s">
        <v>2427</v>
      </c>
      <c r="CP186" t="s">
        <v>1024</v>
      </c>
      <c r="CT186" t="s">
        <v>901</v>
      </c>
    </row>
    <row r="187" spans="1:98" x14ac:dyDescent="0.15">
      <c r="A187" t="s">
        <v>861</v>
      </c>
      <c r="B187" t="s">
        <v>862</v>
      </c>
      <c r="C187" t="s">
        <v>218</v>
      </c>
      <c r="D187" t="s">
        <v>218</v>
      </c>
      <c r="E187" t="s">
        <v>218</v>
      </c>
      <c r="F187" t="s">
        <v>863</v>
      </c>
      <c r="G187" t="s">
        <v>1025</v>
      </c>
      <c r="H187" t="s">
        <v>1026</v>
      </c>
      <c r="I187" t="s">
        <v>217</v>
      </c>
      <c r="J187" t="s">
        <v>2428</v>
      </c>
      <c r="K187" t="s">
        <v>1481</v>
      </c>
      <c r="L187" t="s">
        <v>868</v>
      </c>
      <c r="N187" t="s">
        <v>861</v>
      </c>
      <c r="O187">
        <v>0</v>
      </c>
      <c r="P187" t="s">
        <v>869</v>
      </c>
      <c r="Q187" t="s">
        <v>36</v>
      </c>
      <c r="R187" t="s">
        <v>870</v>
      </c>
      <c r="S187" t="s">
        <v>979</v>
      </c>
      <c r="T187" t="s">
        <v>2402</v>
      </c>
      <c r="U187" t="s">
        <v>2402</v>
      </c>
      <c r="V187" t="s">
        <v>1024</v>
      </c>
      <c r="Y187" t="s">
        <v>874</v>
      </c>
      <c r="Z187" t="s">
        <v>861</v>
      </c>
      <c r="AA187" t="s">
        <v>958</v>
      </c>
      <c r="AB187" t="s">
        <v>2429</v>
      </c>
      <c r="AF187" t="s">
        <v>2404</v>
      </c>
      <c r="AG187" t="s">
        <v>2317</v>
      </c>
      <c r="AH187" t="s">
        <v>2406</v>
      </c>
      <c r="AI187" t="s">
        <v>2430</v>
      </c>
      <c r="AJ187" t="s">
        <v>861</v>
      </c>
      <c r="AK187" t="s">
        <v>880</v>
      </c>
      <c r="AL187" t="s">
        <v>913</v>
      </c>
      <c r="AM187" t="s">
        <v>986</v>
      </c>
      <c r="AN187" t="s">
        <v>986</v>
      </c>
      <c r="AO187" t="s">
        <v>2431</v>
      </c>
      <c r="AP187" t="s">
        <v>1226</v>
      </c>
      <c r="AQ187" t="s">
        <v>1028</v>
      </c>
      <c r="AR187" t="s">
        <v>2432</v>
      </c>
      <c r="AS187" t="s">
        <v>1028</v>
      </c>
      <c r="AT187" t="s">
        <v>1028</v>
      </c>
      <c r="AU187" t="s">
        <v>886</v>
      </c>
      <c r="AW187" t="s">
        <v>1028</v>
      </c>
      <c r="AX187" t="s">
        <v>1028</v>
      </c>
      <c r="AZ187" t="s">
        <v>883</v>
      </c>
      <c r="BA187" t="s">
        <v>1340</v>
      </c>
      <c r="BB187" t="s">
        <v>2433</v>
      </c>
      <c r="BK187" t="s">
        <v>1134</v>
      </c>
      <c r="BL187">
        <v>510</v>
      </c>
      <c r="BM187">
        <v>65.12</v>
      </c>
      <c r="BN187">
        <v>9936</v>
      </c>
      <c r="BO187">
        <v>16882.900000000001</v>
      </c>
      <c r="BP187">
        <v>16882.900000000001</v>
      </c>
      <c r="BQ187">
        <v>18736.18</v>
      </c>
      <c r="BR187">
        <v>1853.27</v>
      </c>
      <c r="BS187" t="s">
        <v>892</v>
      </c>
      <c r="BT187">
        <v>1851</v>
      </c>
      <c r="BV187" t="s">
        <v>2411</v>
      </c>
      <c r="BW187" t="s">
        <v>2412</v>
      </c>
      <c r="BX187" t="s">
        <v>895</v>
      </c>
      <c r="BY187" t="s">
        <v>2413</v>
      </c>
      <c r="CD187" t="s">
        <v>2434</v>
      </c>
      <c r="CG187" t="s">
        <v>2428</v>
      </c>
      <c r="CH187" t="s">
        <v>1495</v>
      </c>
      <c r="CI187" t="s">
        <v>2435</v>
      </c>
      <c r="CJ187" t="s">
        <v>2435</v>
      </c>
      <c r="CM187" t="s">
        <v>1044</v>
      </c>
      <c r="CN187" t="s">
        <v>1045</v>
      </c>
      <c r="CO187" t="s">
        <v>2436</v>
      </c>
      <c r="CP187" t="s">
        <v>1024</v>
      </c>
      <c r="CT187" t="s">
        <v>901</v>
      </c>
    </row>
    <row r="188" spans="1:98" x14ac:dyDescent="0.15">
      <c r="A188" t="s">
        <v>861</v>
      </c>
      <c r="B188" t="s">
        <v>862</v>
      </c>
      <c r="C188" t="s">
        <v>41</v>
      </c>
      <c r="D188" t="s">
        <v>41</v>
      </c>
      <c r="E188" t="s">
        <v>41</v>
      </c>
      <c r="F188" t="s">
        <v>863</v>
      </c>
      <c r="G188" t="s">
        <v>864</v>
      </c>
      <c r="H188" t="s">
        <v>937</v>
      </c>
      <c r="I188" t="s">
        <v>40</v>
      </c>
      <c r="J188" t="s">
        <v>2437</v>
      </c>
      <c r="K188" t="s">
        <v>1481</v>
      </c>
      <c r="L188" t="s">
        <v>868</v>
      </c>
      <c r="N188" t="s">
        <v>861</v>
      </c>
      <c r="O188">
        <v>0</v>
      </c>
      <c r="P188" t="s">
        <v>869</v>
      </c>
      <c r="Q188" t="s">
        <v>36</v>
      </c>
      <c r="R188" t="s">
        <v>870</v>
      </c>
      <c r="S188" t="s">
        <v>979</v>
      </c>
      <c r="T188" t="s">
        <v>2438</v>
      </c>
      <c r="U188" t="s">
        <v>2438</v>
      </c>
      <c r="V188" t="s">
        <v>1024</v>
      </c>
      <c r="Y188" t="s">
        <v>874</v>
      </c>
      <c r="Z188" t="s">
        <v>861</v>
      </c>
      <c r="AA188" t="s">
        <v>958</v>
      </c>
      <c r="AB188" t="s">
        <v>2418</v>
      </c>
      <c r="AF188" t="s">
        <v>2439</v>
      </c>
      <c r="AG188" t="s">
        <v>2440</v>
      </c>
      <c r="AH188" t="s">
        <v>2406</v>
      </c>
      <c r="AJ188" t="s">
        <v>861</v>
      </c>
      <c r="AK188" t="s">
        <v>880</v>
      </c>
      <c r="AL188" t="s">
        <v>913</v>
      </c>
      <c r="AM188" t="s">
        <v>986</v>
      </c>
      <c r="AP188" t="s">
        <v>883</v>
      </c>
      <c r="AQ188" t="s">
        <v>890</v>
      </c>
      <c r="AS188" t="s">
        <v>890</v>
      </c>
      <c r="AT188" t="s">
        <v>890</v>
      </c>
      <c r="AU188" t="s">
        <v>886</v>
      </c>
      <c r="AW188" t="s">
        <v>890</v>
      </c>
      <c r="AX188" t="s">
        <v>890</v>
      </c>
      <c r="AZ188" t="s">
        <v>965</v>
      </c>
      <c r="BA188" t="s">
        <v>988</v>
      </c>
      <c r="BK188" t="s">
        <v>1134</v>
      </c>
      <c r="BL188">
        <v>475</v>
      </c>
      <c r="BM188">
        <v>65.760000000000005</v>
      </c>
      <c r="BN188">
        <v>10401</v>
      </c>
      <c r="BO188">
        <v>17160.509999999998</v>
      </c>
      <c r="BP188">
        <v>17160.509999999998</v>
      </c>
      <c r="BQ188">
        <v>19013.830000000002</v>
      </c>
      <c r="BR188">
        <v>1853.3</v>
      </c>
      <c r="BS188" t="s">
        <v>892</v>
      </c>
      <c r="BT188">
        <v>1851</v>
      </c>
      <c r="BV188" t="s">
        <v>2441</v>
      </c>
      <c r="BW188" t="s">
        <v>2442</v>
      </c>
      <c r="BX188" t="s">
        <v>895</v>
      </c>
      <c r="BY188" t="s">
        <v>2424</v>
      </c>
      <c r="CD188" t="s">
        <v>2443</v>
      </c>
      <c r="CG188" t="s">
        <v>2437</v>
      </c>
      <c r="CH188" t="s">
        <v>1495</v>
      </c>
      <c r="CI188" t="s">
        <v>2444</v>
      </c>
      <c r="CJ188" t="s">
        <v>2444</v>
      </c>
      <c r="CP188" t="s">
        <v>1371</v>
      </c>
      <c r="CT188" t="s">
        <v>901</v>
      </c>
    </row>
    <row r="189" spans="1:98" x14ac:dyDescent="0.15">
      <c r="A189" t="s">
        <v>861</v>
      </c>
      <c r="B189" t="s">
        <v>862</v>
      </c>
      <c r="C189" t="s">
        <v>57</v>
      </c>
      <c r="D189" t="s">
        <v>57</v>
      </c>
      <c r="E189" t="s">
        <v>57</v>
      </c>
      <c r="F189" t="s">
        <v>863</v>
      </c>
      <c r="G189" t="s">
        <v>864</v>
      </c>
      <c r="H189" t="s">
        <v>937</v>
      </c>
      <c r="I189" t="s">
        <v>56</v>
      </c>
      <c r="J189" t="s">
        <v>2445</v>
      </c>
      <c r="K189" t="s">
        <v>1481</v>
      </c>
      <c r="L189" t="s">
        <v>868</v>
      </c>
      <c r="N189" t="s">
        <v>861</v>
      </c>
      <c r="O189">
        <v>0</v>
      </c>
      <c r="P189" t="s">
        <v>869</v>
      </c>
      <c r="Q189" t="s">
        <v>36</v>
      </c>
      <c r="R189" t="s">
        <v>870</v>
      </c>
      <c r="S189" t="s">
        <v>979</v>
      </c>
      <c r="T189" t="s">
        <v>2438</v>
      </c>
      <c r="U189" t="s">
        <v>2438</v>
      </c>
      <c r="V189" t="s">
        <v>1024</v>
      </c>
      <c r="Y189" t="s">
        <v>910</v>
      </c>
      <c r="Z189" t="s">
        <v>861</v>
      </c>
      <c r="AA189" t="s">
        <v>958</v>
      </c>
      <c r="AB189" t="s">
        <v>2446</v>
      </c>
      <c r="AF189" t="s">
        <v>2439</v>
      </c>
      <c r="AG189" t="s">
        <v>2447</v>
      </c>
      <c r="AH189" t="s">
        <v>2406</v>
      </c>
      <c r="AI189" t="s">
        <v>2448</v>
      </c>
      <c r="AJ189" t="s">
        <v>861</v>
      </c>
      <c r="AK189" t="s">
        <v>880</v>
      </c>
      <c r="AL189" t="s">
        <v>913</v>
      </c>
      <c r="AM189" t="s">
        <v>986</v>
      </c>
      <c r="AP189" t="s">
        <v>883</v>
      </c>
      <c r="AQ189" t="s">
        <v>890</v>
      </c>
      <c r="AS189" t="s">
        <v>890</v>
      </c>
      <c r="AT189" t="s">
        <v>890</v>
      </c>
      <c r="AU189" t="s">
        <v>886</v>
      </c>
      <c r="AW189" t="s">
        <v>890</v>
      </c>
      <c r="AX189" t="s">
        <v>890</v>
      </c>
      <c r="AZ189" t="s">
        <v>965</v>
      </c>
      <c r="BA189" t="s">
        <v>988</v>
      </c>
      <c r="BK189" t="s">
        <v>1134</v>
      </c>
      <c r="BL189">
        <v>420</v>
      </c>
      <c r="BM189">
        <v>64.319999999999993</v>
      </c>
      <c r="BN189">
        <v>7745</v>
      </c>
      <c r="BO189">
        <v>18505.099999999999</v>
      </c>
      <c r="BP189">
        <v>18505.099999999999</v>
      </c>
      <c r="BQ189">
        <v>20358.55</v>
      </c>
      <c r="BR189">
        <v>1853.46</v>
      </c>
      <c r="BS189" t="s">
        <v>892</v>
      </c>
      <c r="BT189">
        <v>1851</v>
      </c>
      <c r="BV189" t="s">
        <v>2441</v>
      </c>
      <c r="BW189" t="s">
        <v>2442</v>
      </c>
      <c r="BX189" t="s">
        <v>895</v>
      </c>
      <c r="BY189" t="s">
        <v>2424</v>
      </c>
      <c r="CD189" t="s">
        <v>2443</v>
      </c>
      <c r="CG189" t="s">
        <v>2445</v>
      </c>
      <c r="CH189" t="s">
        <v>1495</v>
      </c>
      <c r="CI189" t="s">
        <v>2449</v>
      </c>
      <c r="CJ189" t="s">
        <v>2449</v>
      </c>
      <c r="CP189" t="s">
        <v>1371</v>
      </c>
      <c r="CT189" t="s">
        <v>901</v>
      </c>
    </row>
    <row r="190" spans="1:98" x14ac:dyDescent="0.15">
      <c r="A190" t="s">
        <v>861</v>
      </c>
      <c r="B190" t="s">
        <v>862</v>
      </c>
      <c r="C190" t="s">
        <v>39</v>
      </c>
      <c r="D190" t="s">
        <v>39</v>
      </c>
      <c r="E190" t="s">
        <v>39</v>
      </c>
      <c r="F190" t="s">
        <v>863</v>
      </c>
      <c r="G190" t="s">
        <v>864</v>
      </c>
      <c r="H190" t="s">
        <v>937</v>
      </c>
      <c r="I190" t="s">
        <v>35</v>
      </c>
      <c r="J190" t="s">
        <v>2450</v>
      </c>
      <c r="K190" t="s">
        <v>1481</v>
      </c>
      <c r="L190" t="s">
        <v>868</v>
      </c>
      <c r="N190" t="s">
        <v>861</v>
      </c>
      <c r="O190">
        <v>0</v>
      </c>
      <c r="P190" t="s">
        <v>869</v>
      </c>
      <c r="Q190" t="s">
        <v>36</v>
      </c>
      <c r="R190" t="s">
        <v>870</v>
      </c>
      <c r="S190" t="s">
        <v>979</v>
      </c>
      <c r="T190" t="s">
        <v>2438</v>
      </c>
      <c r="U190" t="s">
        <v>2438</v>
      </c>
      <c r="V190" t="s">
        <v>1464</v>
      </c>
      <c r="Y190" t="s">
        <v>874</v>
      </c>
      <c r="Z190" t="s">
        <v>861</v>
      </c>
      <c r="AA190" t="s">
        <v>958</v>
      </c>
      <c r="AB190" t="s">
        <v>2451</v>
      </c>
      <c r="AD190" t="s">
        <v>1484</v>
      </c>
      <c r="AF190" t="s">
        <v>2439</v>
      </c>
      <c r="AG190" t="s">
        <v>2452</v>
      </c>
      <c r="AH190" t="s">
        <v>2406</v>
      </c>
      <c r="AJ190" t="s">
        <v>861</v>
      </c>
      <c r="AK190" t="s">
        <v>880</v>
      </c>
      <c r="AL190" t="s">
        <v>913</v>
      </c>
      <c r="AM190" t="s">
        <v>986</v>
      </c>
      <c r="AP190" t="s">
        <v>883</v>
      </c>
      <c r="AQ190" t="s">
        <v>890</v>
      </c>
      <c r="AS190" t="s">
        <v>890</v>
      </c>
      <c r="AT190" t="s">
        <v>890</v>
      </c>
      <c r="AU190" t="s">
        <v>886</v>
      </c>
      <c r="AW190" t="s">
        <v>890</v>
      </c>
      <c r="AX190" t="s">
        <v>890</v>
      </c>
      <c r="AZ190" t="s">
        <v>965</v>
      </c>
      <c r="BA190" t="s">
        <v>988</v>
      </c>
      <c r="BK190" t="s">
        <v>1134</v>
      </c>
      <c r="BL190">
        <v>839</v>
      </c>
      <c r="BM190">
        <v>62.38</v>
      </c>
      <c r="BN190">
        <v>9602.6</v>
      </c>
      <c r="BO190">
        <v>21509.43</v>
      </c>
      <c r="BP190">
        <v>21509.43</v>
      </c>
      <c r="BQ190">
        <v>23313.27</v>
      </c>
      <c r="BR190">
        <v>1803.82</v>
      </c>
      <c r="BS190" t="s">
        <v>892</v>
      </c>
      <c r="BT190">
        <v>1801</v>
      </c>
      <c r="BV190" t="s">
        <v>2441</v>
      </c>
      <c r="BW190" t="s">
        <v>2442</v>
      </c>
      <c r="BX190" t="s">
        <v>895</v>
      </c>
      <c r="BY190" t="s">
        <v>2453</v>
      </c>
      <c r="CD190" t="s">
        <v>2454</v>
      </c>
      <c r="CG190" t="s">
        <v>2450</v>
      </c>
      <c r="CH190" t="s">
        <v>1495</v>
      </c>
      <c r="CI190" t="s">
        <v>2455</v>
      </c>
      <c r="CJ190" t="s">
        <v>2455</v>
      </c>
      <c r="CP190" t="s">
        <v>1371</v>
      </c>
      <c r="CT190" t="s">
        <v>901</v>
      </c>
    </row>
    <row r="191" spans="1:98" x14ac:dyDescent="0.15">
      <c r="A191" t="s">
        <v>861</v>
      </c>
      <c r="B191" t="s">
        <v>862</v>
      </c>
      <c r="C191" t="s">
        <v>67</v>
      </c>
      <c r="D191" t="s">
        <v>67</v>
      </c>
      <c r="E191" t="s">
        <v>67</v>
      </c>
      <c r="F191" t="s">
        <v>863</v>
      </c>
      <c r="G191" t="s">
        <v>864</v>
      </c>
      <c r="H191" t="s">
        <v>937</v>
      </c>
      <c r="I191" t="s">
        <v>66</v>
      </c>
      <c r="J191" t="s">
        <v>2456</v>
      </c>
      <c r="K191" t="s">
        <v>1481</v>
      </c>
      <c r="L191" t="s">
        <v>868</v>
      </c>
      <c r="N191" t="s">
        <v>861</v>
      </c>
      <c r="O191">
        <v>0</v>
      </c>
      <c r="P191" t="s">
        <v>869</v>
      </c>
      <c r="Q191" t="s">
        <v>36</v>
      </c>
      <c r="R191" t="s">
        <v>870</v>
      </c>
      <c r="S191" t="s">
        <v>979</v>
      </c>
      <c r="T191" t="s">
        <v>2438</v>
      </c>
      <c r="U191" t="s">
        <v>2438</v>
      </c>
      <c r="V191" t="s">
        <v>1464</v>
      </c>
      <c r="Y191" t="s">
        <v>874</v>
      </c>
      <c r="Z191" t="s">
        <v>861</v>
      </c>
      <c r="AA191" t="s">
        <v>958</v>
      </c>
      <c r="AB191" t="s">
        <v>2457</v>
      </c>
      <c r="AD191" t="s">
        <v>1484</v>
      </c>
      <c r="AF191" t="s">
        <v>2439</v>
      </c>
      <c r="AG191" t="s">
        <v>2458</v>
      </c>
      <c r="AH191" t="s">
        <v>2406</v>
      </c>
      <c r="AI191" t="s">
        <v>2459</v>
      </c>
      <c r="AJ191" t="s">
        <v>861</v>
      </c>
      <c r="AK191" t="s">
        <v>880</v>
      </c>
      <c r="AL191" t="s">
        <v>913</v>
      </c>
      <c r="AM191" t="s">
        <v>986</v>
      </c>
      <c r="AP191" t="s">
        <v>883</v>
      </c>
      <c r="AQ191" t="s">
        <v>890</v>
      </c>
      <c r="AS191" t="s">
        <v>890</v>
      </c>
      <c r="AT191" t="s">
        <v>890</v>
      </c>
      <c r="AU191" t="s">
        <v>886</v>
      </c>
      <c r="AW191" t="s">
        <v>890</v>
      </c>
      <c r="AX191" t="s">
        <v>890</v>
      </c>
      <c r="AZ191" t="s">
        <v>965</v>
      </c>
      <c r="BA191" t="s">
        <v>988</v>
      </c>
      <c r="BK191" t="s">
        <v>1134</v>
      </c>
      <c r="BL191">
        <v>406</v>
      </c>
      <c r="BM191">
        <v>67.31</v>
      </c>
      <c r="BN191">
        <v>5899.4</v>
      </c>
      <c r="BO191">
        <v>20021.060000000001</v>
      </c>
      <c r="BP191">
        <v>20021.060000000001</v>
      </c>
      <c r="BQ191">
        <v>21874.69</v>
      </c>
      <c r="BR191">
        <v>1853.65</v>
      </c>
      <c r="BS191" t="s">
        <v>892</v>
      </c>
      <c r="BT191">
        <v>1851</v>
      </c>
      <c r="BV191" t="s">
        <v>2441</v>
      </c>
      <c r="BW191" t="s">
        <v>2442</v>
      </c>
      <c r="BX191" t="s">
        <v>895</v>
      </c>
      <c r="BY191" t="s">
        <v>2453</v>
      </c>
      <c r="CD191" t="s">
        <v>2460</v>
      </c>
      <c r="CG191" t="s">
        <v>2456</v>
      </c>
      <c r="CH191" t="s">
        <v>1495</v>
      </c>
      <c r="CI191" t="s">
        <v>2461</v>
      </c>
      <c r="CJ191" t="s">
        <v>2461</v>
      </c>
      <c r="CP191" t="s">
        <v>1371</v>
      </c>
      <c r="CT191" t="s">
        <v>901</v>
      </c>
    </row>
    <row r="192" spans="1:98" x14ac:dyDescent="0.15">
      <c r="A192" t="s">
        <v>861</v>
      </c>
      <c r="B192" t="s">
        <v>862</v>
      </c>
      <c r="C192" t="s">
        <v>65</v>
      </c>
      <c r="D192" t="s">
        <v>65</v>
      </c>
      <c r="E192" t="s">
        <v>65</v>
      </c>
      <c r="F192" t="s">
        <v>863</v>
      </c>
      <c r="G192" t="s">
        <v>864</v>
      </c>
      <c r="H192" t="s">
        <v>937</v>
      </c>
      <c r="I192" t="s">
        <v>64</v>
      </c>
      <c r="J192" t="s">
        <v>2462</v>
      </c>
      <c r="K192" t="s">
        <v>1481</v>
      </c>
      <c r="L192" t="s">
        <v>868</v>
      </c>
      <c r="N192" t="s">
        <v>861</v>
      </c>
      <c r="O192">
        <v>0</v>
      </c>
      <c r="P192" t="s">
        <v>869</v>
      </c>
      <c r="Q192" t="s">
        <v>36</v>
      </c>
      <c r="R192" t="s">
        <v>870</v>
      </c>
      <c r="S192" t="s">
        <v>979</v>
      </c>
      <c r="T192" t="s">
        <v>2438</v>
      </c>
      <c r="U192" t="s">
        <v>2438</v>
      </c>
      <c r="V192" t="s">
        <v>1371</v>
      </c>
      <c r="Y192" t="s">
        <v>874</v>
      </c>
      <c r="Z192" t="s">
        <v>861</v>
      </c>
      <c r="AA192" t="s">
        <v>958</v>
      </c>
      <c r="AB192" t="s">
        <v>2463</v>
      </c>
      <c r="AF192" t="s">
        <v>2439</v>
      </c>
      <c r="AG192" t="s">
        <v>2464</v>
      </c>
      <c r="AH192" t="s">
        <v>2406</v>
      </c>
      <c r="AJ192" t="s">
        <v>861</v>
      </c>
      <c r="AK192" t="s">
        <v>880</v>
      </c>
      <c r="AL192" t="s">
        <v>913</v>
      </c>
      <c r="AM192" t="s">
        <v>986</v>
      </c>
      <c r="AP192" t="s">
        <v>883</v>
      </c>
      <c r="AQ192" t="s">
        <v>890</v>
      </c>
      <c r="AS192" t="s">
        <v>890</v>
      </c>
      <c r="AT192" t="s">
        <v>890</v>
      </c>
      <c r="AU192" t="s">
        <v>886</v>
      </c>
      <c r="AW192" t="s">
        <v>890</v>
      </c>
      <c r="AX192" t="s">
        <v>890</v>
      </c>
      <c r="AZ192" t="s">
        <v>965</v>
      </c>
      <c r="BA192" t="s">
        <v>988</v>
      </c>
      <c r="BK192" t="s">
        <v>1134</v>
      </c>
      <c r="BL192">
        <v>279</v>
      </c>
      <c r="BM192">
        <v>67.98</v>
      </c>
      <c r="BN192">
        <v>6118</v>
      </c>
      <c r="BO192">
        <v>18485.57</v>
      </c>
      <c r="BP192">
        <v>18485.57</v>
      </c>
      <c r="BQ192">
        <v>20289.02</v>
      </c>
      <c r="BR192">
        <v>1803.45</v>
      </c>
      <c r="BS192" t="s">
        <v>892</v>
      </c>
      <c r="BT192">
        <v>1801</v>
      </c>
      <c r="BV192" t="s">
        <v>2441</v>
      </c>
      <c r="BW192" t="s">
        <v>2442</v>
      </c>
      <c r="BX192" t="s">
        <v>895</v>
      </c>
      <c r="BY192" t="s">
        <v>2453</v>
      </c>
      <c r="CD192" t="s">
        <v>2465</v>
      </c>
      <c r="CG192" t="s">
        <v>2462</v>
      </c>
      <c r="CH192" t="s">
        <v>1495</v>
      </c>
      <c r="CI192" t="s">
        <v>2466</v>
      </c>
      <c r="CJ192" t="s">
        <v>2466</v>
      </c>
      <c r="CP192" t="s">
        <v>1371</v>
      </c>
      <c r="CT192" t="s">
        <v>901</v>
      </c>
    </row>
    <row r="193" spans="1:98" x14ac:dyDescent="0.15">
      <c r="A193" t="s">
        <v>861</v>
      </c>
      <c r="B193" t="s">
        <v>862</v>
      </c>
      <c r="C193" t="s">
        <v>198</v>
      </c>
      <c r="D193" t="s">
        <v>198</v>
      </c>
      <c r="E193" t="s">
        <v>198</v>
      </c>
      <c r="F193" t="s">
        <v>863</v>
      </c>
      <c r="G193" t="s">
        <v>1025</v>
      </c>
      <c r="H193" t="s">
        <v>1026</v>
      </c>
      <c r="I193" t="s">
        <v>197</v>
      </c>
      <c r="J193" t="s">
        <v>2467</v>
      </c>
      <c r="K193" t="s">
        <v>1481</v>
      </c>
      <c r="L193" t="s">
        <v>868</v>
      </c>
      <c r="N193" t="s">
        <v>861</v>
      </c>
      <c r="O193">
        <v>0</v>
      </c>
      <c r="P193" t="s">
        <v>869</v>
      </c>
      <c r="Q193" t="s">
        <v>36</v>
      </c>
      <c r="R193" t="s">
        <v>870</v>
      </c>
      <c r="S193" t="s">
        <v>979</v>
      </c>
      <c r="T193" t="s">
        <v>1883</v>
      </c>
      <c r="U193" t="s">
        <v>1883</v>
      </c>
      <c r="V193" t="s">
        <v>900</v>
      </c>
      <c r="W193" t="s">
        <v>1125</v>
      </c>
      <c r="Y193" t="s">
        <v>874</v>
      </c>
      <c r="Z193" t="s">
        <v>861</v>
      </c>
      <c r="AA193" t="s">
        <v>958</v>
      </c>
      <c r="AB193" t="s">
        <v>2468</v>
      </c>
      <c r="AD193" t="s">
        <v>2210</v>
      </c>
      <c r="AF193" t="s">
        <v>2469</v>
      </c>
      <c r="AG193" t="s">
        <v>2470</v>
      </c>
      <c r="AH193" t="s">
        <v>1129</v>
      </c>
      <c r="AI193" t="s">
        <v>1261</v>
      </c>
      <c r="AJ193" t="s">
        <v>861</v>
      </c>
      <c r="AK193" t="s">
        <v>880</v>
      </c>
      <c r="AL193" t="s">
        <v>913</v>
      </c>
      <c r="AM193" t="s">
        <v>986</v>
      </c>
      <c r="AN193" t="s">
        <v>986</v>
      </c>
      <c r="AO193" t="s">
        <v>2471</v>
      </c>
      <c r="AP193" t="s">
        <v>1261</v>
      </c>
      <c r="AQ193" t="s">
        <v>1131</v>
      </c>
      <c r="AR193" t="s">
        <v>2472</v>
      </c>
      <c r="AS193" t="s">
        <v>1131</v>
      </c>
      <c r="AT193" t="s">
        <v>1131</v>
      </c>
      <c r="AU193" t="s">
        <v>886</v>
      </c>
      <c r="AW193" t="s">
        <v>1131</v>
      </c>
      <c r="AX193" t="s">
        <v>1131</v>
      </c>
      <c r="AZ193" t="s">
        <v>1226</v>
      </c>
      <c r="BA193" t="s">
        <v>1133</v>
      </c>
      <c r="BB193" t="s">
        <v>2473</v>
      </c>
      <c r="BK193" t="s">
        <v>1134</v>
      </c>
      <c r="BL193">
        <v>445</v>
      </c>
      <c r="BM193">
        <v>63.64</v>
      </c>
      <c r="BN193">
        <v>8200</v>
      </c>
      <c r="BO193">
        <v>20598.5</v>
      </c>
      <c r="BP193">
        <v>20598.5</v>
      </c>
      <c r="BQ193">
        <v>22452.21</v>
      </c>
      <c r="BR193">
        <v>1853.72</v>
      </c>
      <c r="BS193" t="s">
        <v>892</v>
      </c>
      <c r="BT193">
        <v>1851</v>
      </c>
      <c r="BV193" t="s">
        <v>2474</v>
      </c>
      <c r="BW193" t="s">
        <v>2475</v>
      </c>
      <c r="BX193" t="s">
        <v>1007</v>
      </c>
      <c r="BY193" t="s">
        <v>2476</v>
      </c>
      <c r="CD193" t="s">
        <v>2477</v>
      </c>
      <c r="CG193" t="s">
        <v>2467</v>
      </c>
      <c r="CH193" t="s">
        <v>1495</v>
      </c>
      <c r="CI193" t="s">
        <v>2478</v>
      </c>
      <c r="CJ193" t="s">
        <v>2478</v>
      </c>
      <c r="CM193" t="s">
        <v>1044</v>
      </c>
      <c r="CN193" t="s">
        <v>1045</v>
      </c>
      <c r="CO193" t="s">
        <v>2479</v>
      </c>
      <c r="CP193" t="s">
        <v>974</v>
      </c>
      <c r="CT193" t="s">
        <v>901</v>
      </c>
    </row>
    <row r="194" spans="1:98" x14ac:dyDescent="0.15">
      <c r="A194" t="s">
        <v>861</v>
      </c>
      <c r="B194" t="s">
        <v>862</v>
      </c>
      <c r="C194" t="s">
        <v>234</v>
      </c>
      <c r="D194" t="s">
        <v>234</v>
      </c>
      <c r="E194" t="s">
        <v>234</v>
      </c>
      <c r="F194" t="s">
        <v>863</v>
      </c>
      <c r="G194" t="s">
        <v>1025</v>
      </c>
      <c r="H194" t="s">
        <v>1026</v>
      </c>
      <c r="I194" t="s">
        <v>233</v>
      </c>
      <c r="J194" t="s">
        <v>2480</v>
      </c>
      <c r="K194" t="s">
        <v>1481</v>
      </c>
      <c r="L194" t="s">
        <v>868</v>
      </c>
      <c r="N194" t="s">
        <v>861</v>
      </c>
      <c r="O194">
        <v>0</v>
      </c>
      <c r="P194" t="s">
        <v>869</v>
      </c>
      <c r="Q194" t="s">
        <v>36</v>
      </c>
      <c r="R194" t="s">
        <v>870</v>
      </c>
      <c r="S194" t="s">
        <v>979</v>
      </c>
      <c r="T194" t="s">
        <v>1883</v>
      </c>
      <c r="U194" t="s">
        <v>1883</v>
      </c>
      <c r="V194" t="s">
        <v>900</v>
      </c>
      <c r="W194" t="s">
        <v>1125</v>
      </c>
      <c r="Y194" t="s">
        <v>874</v>
      </c>
      <c r="Z194" t="s">
        <v>861</v>
      </c>
      <c r="AA194" t="s">
        <v>958</v>
      </c>
      <c r="AB194" t="s">
        <v>2481</v>
      </c>
      <c r="AD194" t="s">
        <v>2210</v>
      </c>
      <c r="AF194" t="s">
        <v>2469</v>
      </c>
      <c r="AG194" t="s">
        <v>2482</v>
      </c>
      <c r="AH194" t="s">
        <v>1129</v>
      </c>
      <c r="AI194" t="s">
        <v>1261</v>
      </c>
      <c r="AJ194" t="s">
        <v>861</v>
      </c>
      <c r="AK194" t="s">
        <v>880</v>
      </c>
      <c r="AL194" t="s">
        <v>913</v>
      </c>
      <c r="AM194" t="s">
        <v>986</v>
      </c>
      <c r="AN194" t="s">
        <v>986</v>
      </c>
      <c r="AO194" t="s">
        <v>2483</v>
      </c>
      <c r="AP194" t="s">
        <v>1261</v>
      </c>
      <c r="AQ194" t="s">
        <v>1131</v>
      </c>
      <c r="AR194" t="s">
        <v>2484</v>
      </c>
      <c r="AS194" t="s">
        <v>1131</v>
      </c>
      <c r="AT194" t="s">
        <v>1131</v>
      </c>
      <c r="AU194" t="s">
        <v>886</v>
      </c>
      <c r="AW194" t="s">
        <v>1131</v>
      </c>
      <c r="AX194" t="s">
        <v>1131</v>
      </c>
      <c r="AZ194" t="s">
        <v>1226</v>
      </c>
      <c r="BA194" t="s">
        <v>1133</v>
      </c>
      <c r="BB194" t="s">
        <v>2485</v>
      </c>
      <c r="BK194" t="s">
        <v>1134</v>
      </c>
      <c r="BL194">
        <v>716</v>
      </c>
      <c r="BM194">
        <v>61.64</v>
      </c>
      <c r="BN194">
        <v>6954.5</v>
      </c>
      <c r="BO194">
        <v>18663.669999999998</v>
      </c>
      <c r="BP194">
        <v>18663.669999999998</v>
      </c>
      <c r="BQ194">
        <v>20517.16</v>
      </c>
      <c r="BR194">
        <v>1853.48</v>
      </c>
      <c r="BS194" t="s">
        <v>892</v>
      </c>
      <c r="BT194">
        <v>1851</v>
      </c>
      <c r="BV194" t="s">
        <v>2474</v>
      </c>
      <c r="BW194" t="s">
        <v>2475</v>
      </c>
      <c r="BX194" t="s">
        <v>1007</v>
      </c>
      <c r="BY194" t="s">
        <v>2476</v>
      </c>
      <c r="CD194" t="s">
        <v>2477</v>
      </c>
      <c r="CG194" t="s">
        <v>2480</v>
      </c>
      <c r="CH194" t="s">
        <v>1495</v>
      </c>
      <c r="CI194" t="s">
        <v>2486</v>
      </c>
      <c r="CJ194" t="s">
        <v>2486</v>
      </c>
      <c r="CM194" t="s">
        <v>1044</v>
      </c>
      <c r="CN194" t="s">
        <v>1045</v>
      </c>
      <c r="CO194" t="s">
        <v>2487</v>
      </c>
      <c r="CP194" t="s">
        <v>974</v>
      </c>
      <c r="CT194" t="s">
        <v>901</v>
      </c>
    </row>
    <row r="195" spans="1:98" x14ac:dyDescent="0.15">
      <c r="A195" t="s">
        <v>861</v>
      </c>
      <c r="B195" t="s">
        <v>862</v>
      </c>
      <c r="C195" t="s">
        <v>437</v>
      </c>
      <c r="D195" t="s">
        <v>437</v>
      </c>
      <c r="E195" t="s">
        <v>437</v>
      </c>
      <c r="F195" t="s">
        <v>863</v>
      </c>
      <c r="G195" t="s">
        <v>1025</v>
      </c>
      <c r="H195" t="s">
        <v>865</v>
      </c>
      <c r="I195" t="s">
        <v>436</v>
      </c>
      <c r="J195" t="s">
        <v>2488</v>
      </c>
      <c r="K195" t="s">
        <v>977</v>
      </c>
      <c r="L195" t="s">
        <v>868</v>
      </c>
      <c r="N195" t="s">
        <v>861</v>
      </c>
      <c r="O195">
        <v>0</v>
      </c>
      <c r="P195" t="s">
        <v>1142</v>
      </c>
      <c r="Q195" t="s">
        <v>125</v>
      </c>
      <c r="R195" t="s">
        <v>919</v>
      </c>
      <c r="S195" t="s">
        <v>871</v>
      </c>
      <c r="T195" t="s">
        <v>1440</v>
      </c>
      <c r="U195" t="s">
        <v>1440</v>
      </c>
      <c r="V195" t="s">
        <v>998</v>
      </c>
      <c r="W195" t="s">
        <v>1030</v>
      </c>
      <c r="Y195" t="s">
        <v>910</v>
      </c>
      <c r="Z195" t="s">
        <v>861</v>
      </c>
      <c r="AA195" t="s">
        <v>875</v>
      </c>
      <c r="AF195" t="s">
        <v>1444</v>
      </c>
      <c r="AG195" t="s">
        <v>1260</v>
      </c>
      <c r="AH195" t="s">
        <v>1032</v>
      </c>
      <c r="AI195" t="s">
        <v>1226</v>
      </c>
      <c r="AJ195" t="s">
        <v>861</v>
      </c>
      <c r="AK195" t="s">
        <v>880</v>
      </c>
      <c r="AL195" t="s">
        <v>881</v>
      </c>
      <c r="AM195" t="s">
        <v>882</v>
      </c>
      <c r="AP195" t="s">
        <v>1226</v>
      </c>
      <c r="AQ195" t="s">
        <v>1038</v>
      </c>
      <c r="AR195" t="s">
        <v>1038</v>
      </c>
      <c r="AS195" t="s">
        <v>1038</v>
      </c>
      <c r="AT195" t="s">
        <v>1038</v>
      </c>
      <c r="AU195" t="s">
        <v>886</v>
      </c>
      <c r="AW195" t="s">
        <v>1265</v>
      </c>
      <c r="AX195" t="s">
        <v>888</v>
      </c>
      <c r="AZ195" t="s">
        <v>1017</v>
      </c>
      <c r="BA195" t="s">
        <v>890</v>
      </c>
      <c r="BK195" t="s">
        <v>891</v>
      </c>
      <c r="BL195">
        <v>866</v>
      </c>
      <c r="BM195">
        <v>63.08</v>
      </c>
      <c r="BN195">
        <v>9052.4</v>
      </c>
      <c r="BO195">
        <v>23244.02</v>
      </c>
      <c r="BP195">
        <v>23244.02</v>
      </c>
      <c r="BQ195">
        <v>23244.02</v>
      </c>
      <c r="BR195">
        <v>0</v>
      </c>
      <c r="BS195" t="s">
        <v>892</v>
      </c>
      <c r="BT195">
        <v>2934.1</v>
      </c>
      <c r="BV195" t="s">
        <v>1642</v>
      </c>
      <c r="BW195" t="s">
        <v>1643</v>
      </c>
      <c r="BX195" t="s">
        <v>895</v>
      </c>
      <c r="BY195" t="s">
        <v>2375</v>
      </c>
      <c r="CD195" t="s">
        <v>2489</v>
      </c>
      <c r="CG195" t="s">
        <v>2490</v>
      </c>
      <c r="CH195" t="s">
        <v>994</v>
      </c>
      <c r="CI195" t="s">
        <v>2490</v>
      </c>
      <c r="CJ195" t="s">
        <v>2490</v>
      </c>
      <c r="CP195" t="s">
        <v>998</v>
      </c>
      <c r="CT195" t="s">
        <v>901</v>
      </c>
    </row>
    <row r="196" spans="1:98" x14ac:dyDescent="0.15">
      <c r="A196" t="s">
        <v>861</v>
      </c>
      <c r="B196" t="s">
        <v>862</v>
      </c>
      <c r="C196" t="s">
        <v>114</v>
      </c>
      <c r="D196" t="s">
        <v>114</v>
      </c>
      <c r="E196" t="s">
        <v>114</v>
      </c>
      <c r="F196" t="s">
        <v>863</v>
      </c>
      <c r="G196" t="s">
        <v>864</v>
      </c>
      <c r="H196" t="s">
        <v>937</v>
      </c>
      <c r="I196" t="s">
        <v>113</v>
      </c>
      <c r="J196" t="s">
        <v>2491</v>
      </c>
      <c r="K196" t="s">
        <v>977</v>
      </c>
      <c r="L196" t="s">
        <v>868</v>
      </c>
      <c r="N196" t="s">
        <v>1259</v>
      </c>
      <c r="O196">
        <v>0</v>
      </c>
      <c r="P196" t="s">
        <v>1180</v>
      </c>
      <c r="Q196" t="s">
        <v>15</v>
      </c>
      <c r="R196" t="s">
        <v>919</v>
      </c>
      <c r="S196" t="s">
        <v>954</v>
      </c>
      <c r="T196" t="s">
        <v>988</v>
      </c>
      <c r="U196" t="s">
        <v>988</v>
      </c>
      <c r="V196" t="s">
        <v>1181</v>
      </c>
      <c r="W196" t="s">
        <v>999</v>
      </c>
      <c r="Y196" t="s">
        <v>910</v>
      </c>
      <c r="Z196" t="s">
        <v>861</v>
      </c>
      <c r="AA196" t="s">
        <v>958</v>
      </c>
      <c r="AB196" t="s">
        <v>2492</v>
      </c>
      <c r="AD196" t="s">
        <v>2148</v>
      </c>
      <c r="AF196" t="s">
        <v>1679</v>
      </c>
      <c r="AG196" t="s">
        <v>1061</v>
      </c>
      <c r="AH196" t="s">
        <v>964</v>
      </c>
      <c r="AI196" t="s">
        <v>965</v>
      </c>
      <c r="AJ196" t="s">
        <v>861</v>
      </c>
      <c r="AK196" t="s">
        <v>880</v>
      </c>
      <c r="AL196" t="s">
        <v>966</v>
      </c>
      <c r="AM196" t="s">
        <v>967</v>
      </c>
      <c r="AP196" t="s">
        <v>965</v>
      </c>
      <c r="AQ196" t="s">
        <v>1002</v>
      </c>
      <c r="AS196" t="s">
        <v>1002</v>
      </c>
      <c r="AT196" t="s">
        <v>1002</v>
      </c>
      <c r="AU196" t="s">
        <v>886</v>
      </c>
      <c r="AW196" t="s">
        <v>883</v>
      </c>
      <c r="AX196" t="s">
        <v>883</v>
      </c>
      <c r="AZ196" t="s">
        <v>1003</v>
      </c>
      <c r="BA196" t="s">
        <v>1004</v>
      </c>
      <c r="BK196" t="s">
        <v>891</v>
      </c>
      <c r="BL196">
        <v>471</v>
      </c>
      <c r="BM196">
        <v>68.489999999999995</v>
      </c>
      <c r="BN196">
        <v>10887</v>
      </c>
      <c r="BO196">
        <v>22391.57</v>
      </c>
      <c r="BP196">
        <v>22391.57</v>
      </c>
      <c r="BQ196">
        <v>22391.57</v>
      </c>
      <c r="BR196">
        <v>0</v>
      </c>
      <c r="BS196" t="s">
        <v>892</v>
      </c>
      <c r="BT196">
        <v>2978</v>
      </c>
      <c r="BV196" t="s">
        <v>1184</v>
      </c>
      <c r="BW196" t="s">
        <v>1185</v>
      </c>
      <c r="BX196" t="s">
        <v>895</v>
      </c>
      <c r="BY196" t="s">
        <v>2493</v>
      </c>
      <c r="CD196" t="s">
        <v>2494</v>
      </c>
      <c r="CG196" t="s">
        <v>2495</v>
      </c>
      <c r="CH196" t="s">
        <v>994</v>
      </c>
      <c r="CI196" t="s">
        <v>2495</v>
      </c>
      <c r="CJ196" t="s">
        <v>2495</v>
      </c>
      <c r="CP196" t="s">
        <v>1078</v>
      </c>
      <c r="CT196" t="s">
        <v>901</v>
      </c>
    </row>
    <row r="197" spans="1:98" x14ac:dyDescent="0.15">
      <c r="A197" t="s">
        <v>861</v>
      </c>
      <c r="B197" t="s">
        <v>862</v>
      </c>
      <c r="C197" t="s">
        <v>451</v>
      </c>
      <c r="D197" t="s">
        <v>451</v>
      </c>
      <c r="E197" t="s">
        <v>451</v>
      </c>
      <c r="F197" t="s">
        <v>863</v>
      </c>
      <c r="G197" t="s">
        <v>864</v>
      </c>
      <c r="H197" t="s">
        <v>865</v>
      </c>
      <c r="I197" t="s">
        <v>450</v>
      </c>
      <c r="J197" t="s">
        <v>2496</v>
      </c>
      <c r="K197" t="s">
        <v>977</v>
      </c>
      <c r="L197" t="s">
        <v>868</v>
      </c>
      <c r="N197" t="s">
        <v>861</v>
      </c>
      <c r="O197">
        <v>0</v>
      </c>
      <c r="P197" t="s">
        <v>869</v>
      </c>
      <c r="Q197" t="s">
        <v>15</v>
      </c>
      <c r="R197" t="s">
        <v>870</v>
      </c>
      <c r="S197" t="s">
        <v>954</v>
      </c>
      <c r="T197" t="s">
        <v>1260</v>
      </c>
      <c r="U197" t="s">
        <v>1260</v>
      </c>
      <c r="V197" t="s">
        <v>956</v>
      </c>
      <c r="W197" t="s">
        <v>1261</v>
      </c>
      <c r="Y197" t="s">
        <v>874</v>
      </c>
      <c r="Z197" t="s">
        <v>861</v>
      </c>
      <c r="AA197" t="s">
        <v>958</v>
      </c>
      <c r="AB197" t="s">
        <v>2497</v>
      </c>
      <c r="AF197" t="s">
        <v>1263</v>
      </c>
      <c r="AG197" t="s">
        <v>1260</v>
      </c>
      <c r="AH197" t="s">
        <v>964</v>
      </c>
      <c r="AI197" t="s">
        <v>1264</v>
      </c>
      <c r="AJ197" t="s">
        <v>861</v>
      </c>
      <c r="AK197" t="s">
        <v>880</v>
      </c>
      <c r="AL197" t="s">
        <v>1001</v>
      </c>
      <c r="AM197" t="s">
        <v>967</v>
      </c>
      <c r="AP197" t="s">
        <v>1264</v>
      </c>
      <c r="AQ197" t="s">
        <v>1088</v>
      </c>
      <c r="AR197" t="s">
        <v>1265</v>
      </c>
      <c r="AS197" t="s">
        <v>1088</v>
      </c>
      <c r="AT197" t="s">
        <v>1088</v>
      </c>
      <c r="AU197" t="s">
        <v>886</v>
      </c>
      <c r="AW197" t="s">
        <v>1226</v>
      </c>
      <c r="AX197" t="s">
        <v>1264</v>
      </c>
      <c r="AZ197" t="s">
        <v>1266</v>
      </c>
      <c r="BA197" t="s">
        <v>957</v>
      </c>
      <c r="BK197" t="s">
        <v>1134</v>
      </c>
      <c r="BL197">
        <v>884</v>
      </c>
      <c r="BM197">
        <v>67.260000000000005</v>
      </c>
      <c r="BN197">
        <v>8799</v>
      </c>
      <c r="BO197">
        <v>19634.7</v>
      </c>
      <c r="BP197">
        <v>19634.7</v>
      </c>
      <c r="BQ197">
        <v>22595.439999999999</v>
      </c>
      <c r="BR197">
        <v>2960.73</v>
      </c>
      <c r="BS197" t="s">
        <v>892</v>
      </c>
      <c r="BT197">
        <v>2958</v>
      </c>
      <c r="BV197" t="s">
        <v>1268</v>
      </c>
      <c r="BW197" t="s">
        <v>1269</v>
      </c>
      <c r="BX197" t="s">
        <v>895</v>
      </c>
      <c r="BY197" t="s">
        <v>2375</v>
      </c>
      <c r="CD197" t="s">
        <v>2376</v>
      </c>
      <c r="CG197" t="s">
        <v>2498</v>
      </c>
      <c r="CH197" t="s">
        <v>994</v>
      </c>
      <c r="CI197" t="s">
        <v>2498</v>
      </c>
      <c r="CJ197" t="s">
        <v>2498</v>
      </c>
      <c r="CP197" t="s">
        <v>956</v>
      </c>
      <c r="CT197" t="s">
        <v>901</v>
      </c>
    </row>
    <row r="198" spans="1:98" x14ac:dyDescent="0.15">
      <c r="A198" t="s">
        <v>861</v>
      </c>
      <c r="B198" t="s">
        <v>862</v>
      </c>
      <c r="C198" t="s">
        <v>333</v>
      </c>
      <c r="D198" t="s">
        <v>333</v>
      </c>
      <c r="E198" t="s">
        <v>333</v>
      </c>
      <c r="F198" t="s">
        <v>863</v>
      </c>
      <c r="G198" t="s">
        <v>864</v>
      </c>
      <c r="H198" t="s">
        <v>865</v>
      </c>
      <c r="I198" t="s">
        <v>332</v>
      </c>
      <c r="J198" t="s">
        <v>2499</v>
      </c>
      <c r="K198" t="s">
        <v>977</v>
      </c>
      <c r="L198" t="s">
        <v>868</v>
      </c>
      <c r="N198" t="s">
        <v>861</v>
      </c>
      <c r="O198">
        <v>0</v>
      </c>
      <c r="P198" t="s">
        <v>869</v>
      </c>
      <c r="Q198" t="s">
        <v>15</v>
      </c>
      <c r="R198" t="s">
        <v>870</v>
      </c>
      <c r="S198" t="s">
        <v>954</v>
      </c>
      <c r="T198" t="s">
        <v>1260</v>
      </c>
      <c r="U198" t="s">
        <v>1260</v>
      </c>
      <c r="V198" t="s">
        <v>956</v>
      </c>
      <c r="W198" t="s">
        <v>1261</v>
      </c>
      <c r="Y198" t="s">
        <v>874</v>
      </c>
      <c r="Z198" t="s">
        <v>861</v>
      </c>
      <c r="AA198" t="s">
        <v>958</v>
      </c>
      <c r="AB198" t="s">
        <v>2500</v>
      </c>
      <c r="AF198" t="s">
        <v>1263</v>
      </c>
      <c r="AG198" t="s">
        <v>1260</v>
      </c>
      <c r="AH198" t="s">
        <v>964</v>
      </c>
      <c r="AI198" t="s">
        <v>1264</v>
      </c>
      <c r="AJ198" t="s">
        <v>861</v>
      </c>
      <c r="AK198" t="s">
        <v>880</v>
      </c>
      <c r="AL198" t="s">
        <v>1001</v>
      </c>
      <c r="AM198" t="s">
        <v>967</v>
      </c>
      <c r="AP198" t="s">
        <v>1264</v>
      </c>
      <c r="AQ198" t="s">
        <v>1088</v>
      </c>
      <c r="AR198" t="s">
        <v>1265</v>
      </c>
      <c r="AS198" t="s">
        <v>1088</v>
      </c>
      <c r="AT198" t="s">
        <v>1088</v>
      </c>
      <c r="AU198" t="s">
        <v>886</v>
      </c>
      <c r="AW198" t="s">
        <v>1226</v>
      </c>
      <c r="AX198" t="s">
        <v>1264</v>
      </c>
      <c r="AZ198" t="s">
        <v>1266</v>
      </c>
      <c r="BA198" t="s">
        <v>957</v>
      </c>
      <c r="BK198" t="s">
        <v>1134</v>
      </c>
      <c r="BL198">
        <v>313</v>
      </c>
      <c r="BM198">
        <v>62.82</v>
      </c>
      <c r="BN198">
        <v>6600</v>
      </c>
      <c r="BO198">
        <v>17576.099999999999</v>
      </c>
      <c r="BP198">
        <v>17576.099999999999</v>
      </c>
      <c r="BQ198">
        <v>20536.580000000002</v>
      </c>
      <c r="BR198">
        <v>2960.48</v>
      </c>
      <c r="BS198" t="s">
        <v>892</v>
      </c>
      <c r="BT198">
        <v>2958</v>
      </c>
      <c r="BV198" t="s">
        <v>1268</v>
      </c>
      <c r="BW198" t="s">
        <v>1269</v>
      </c>
      <c r="BX198" t="s">
        <v>895</v>
      </c>
      <c r="BY198" t="s">
        <v>2375</v>
      </c>
      <c r="CD198" t="s">
        <v>2501</v>
      </c>
      <c r="CG198" t="s">
        <v>2502</v>
      </c>
      <c r="CH198" t="s">
        <v>994</v>
      </c>
      <c r="CI198" t="s">
        <v>2502</v>
      </c>
      <c r="CJ198" t="s">
        <v>2502</v>
      </c>
      <c r="CP198" t="s">
        <v>956</v>
      </c>
      <c r="CT198" t="s">
        <v>901</v>
      </c>
    </row>
    <row r="199" spans="1:98" x14ac:dyDescent="0.15">
      <c r="A199" t="s">
        <v>861</v>
      </c>
      <c r="B199" t="s">
        <v>862</v>
      </c>
      <c r="C199" t="s">
        <v>331</v>
      </c>
      <c r="D199" t="s">
        <v>331</v>
      </c>
      <c r="E199" t="s">
        <v>331</v>
      </c>
      <c r="F199" t="s">
        <v>863</v>
      </c>
      <c r="G199" t="s">
        <v>864</v>
      </c>
      <c r="H199" t="s">
        <v>865</v>
      </c>
      <c r="I199" t="s">
        <v>330</v>
      </c>
      <c r="J199" t="s">
        <v>2503</v>
      </c>
      <c r="K199" t="s">
        <v>977</v>
      </c>
      <c r="L199" t="s">
        <v>868</v>
      </c>
      <c r="N199" t="s">
        <v>861</v>
      </c>
      <c r="O199">
        <v>0</v>
      </c>
      <c r="P199" t="s">
        <v>869</v>
      </c>
      <c r="Q199" t="s">
        <v>15</v>
      </c>
      <c r="R199" t="s">
        <v>870</v>
      </c>
      <c r="S199" t="s">
        <v>954</v>
      </c>
      <c r="T199" t="s">
        <v>1260</v>
      </c>
      <c r="U199" t="s">
        <v>1260</v>
      </c>
      <c r="V199" t="s">
        <v>956</v>
      </c>
      <c r="W199" t="s">
        <v>1261</v>
      </c>
      <c r="Y199" t="s">
        <v>874</v>
      </c>
      <c r="Z199" t="s">
        <v>861</v>
      </c>
      <c r="AA199" t="s">
        <v>958</v>
      </c>
      <c r="AB199" t="s">
        <v>2504</v>
      </c>
      <c r="AF199" t="s">
        <v>1263</v>
      </c>
      <c r="AG199" t="s">
        <v>1260</v>
      </c>
      <c r="AH199" t="s">
        <v>964</v>
      </c>
      <c r="AI199" t="s">
        <v>1264</v>
      </c>
      <c r="AJ199" t="s">
        <v>861</v>
      </c>
      <c r="AK199" t="s">
        <v>880</v>
      </c>
      <c r="AL199" t="s">
        <v>1001</v>
      </c>
      <c r="AM199" t="s">
        <v>967</v>
      </c>
      <c r="AP199" t="s">
        <v>1264</v>
      </c>
      <c r="AQ199" t="s">
        <v>1088</v>
      </c>
      <c r="AR199" t="s">
        <v>1265</v>
      </c>
      <c r="AS199" t="s">
        <v>1088</v>
      </c>
      <c r="AT199" t="s">
        <v>1088</v>
      </c>
      <c r="AU199" t="s">
        <v>886</v>
      </c>
      <c r="AW199" t="s">
        <v>1226</v>
      </c>
      <c r="AX199" t="s">
        <v>957</v>
      </c>
      <c r="AZ199" t="s">
        <v>1266</v>
      </c>
      <c r="BA199" t="s">
        <v>1267</v>
      </c>
      <c r="BK199" t="s">
        <v>1134</v>
      </c>
      <c r="BL199">
        <v>676</v>
      </c>
      <c r="BM199">
        <v>62.66</v>
      </c>
      <c r="BN199">
        <v>7062</v>
      </c>
      <c r="BO199">
        <v>11158.9</v>
      </c>
      <c r="BP199">
        <v>11158.9</v>
      </c>
      <c r="BQ199">
        <v>14118.63</v>
      </c>
      <c r="BR199">
        <v>2959.71</v>
      </c>
      <c r="BS199" t="s">
        <v>892</v>
      </c>
      <c r="BT199">
        <v>2958</v>
      </c>
      <c r="BV199" t="s">
        <v>1268</v>
      </c>
      <c r="BW199" t="s">
        <v>1269</v>
      </c>
      <c r="BX199" t="s">
        <v>895</v>
      </c>
      <c r="BY199" t="s">
        <v>2505</v>
      </c>
      <c r="CD199" t="s">
        <v>2506</v>
      </c>
      <c r="CG199" t="s">
        <v>2507</v>
      </c>
      <c r="CH199" t="s">
        <v>994</v>
      </c>
      <c r="CI199" t="s">
        <v>2507</v>
      </c>
      <c r="CJ199" t="s">
        <v>2507</v>
      </c>
      <c r="CP199" t="s">
        <v>956</v>
      </c>
      <c r="CT199" t="s">
        <v>901</v>
      </c>
    </row>
    <row r="200" spans="1:98" x14ac:dyDescent="0.15">
      <c r="A200" t="s">
        <v>861</v>
      </c>
      <c r="B200" t="s">
        <v>862</v>
      </c>
      <c r="C200" t="s">
        <v>477</v>
      </c>
      <c r="D200" t="s">
        <v>477</v>
      </c>
      <c r="E200" t="s">
        <v>477</v>
      </c>
      <c r="F200" t="s">
        <v>863</v>
      </c>
      <c r="G200" t="s">
        <v>864</v>
      </c>
      <c r="H200" t="s">
        <v>865</v>
      </c>
      <c r="I200" t="s">
        <v>476</v>
      </c>
      <c r="J200" t="s">
        <v>2508</v>
      </c>
      <c r="K200" t="s">
        <v>977</v>
      </c>
      <c r="L200" t="s">
        <v>868</v>
      </c>
      <c r="N200" t="s">
        <v>1259</v>
      </c>
      <c r="O200">
        <v>0</v>
      </c>
      <c r="P200" t="s">
        <v>869</v>
      </c>
      <c r="Q200" t="s">
        <v>15</v>
      </c>
      <c r="R200" t="s">
        <v>870</v>
      </c>
      <c r="S200" t="s">
        <v>954</v>
      </c>
      <c r="T200" t="s">
        <v>1260</v>
      </c>
      <c r="U200" t="s">
        <v>1260</v>
      </c>
      <c r="V200" t="s">
        <v>956</v>
      </c>
      <c r="W200" t="s">
        <v>1261</v>
      </c>
      <c r="Y200" t="s">
        <v>874</v>
      </c>
      <c r="Z200" t="s">
        <v>861</v>
      </c>
      <c r="AA200" t="s">
        <v>958</v>
      </c>
      <c r="AB200" t="s">
        <v>2504</v>
      </c>
      <c r="AF200" t="s">
        <v>1263</v>
      </c>
      <c r="AG200" t="s">
        <v>1260</v>
      </c>
      <c r="AH200" t="s">
        <v>964</v>
      </c>
      <c r="AI200" t="s">
        <v>1264</v>
      </c>
      <c r="AJ200" t="s">
        <v>861</v>
      </c>
      <c r="AK200" t="s">
        <v>880</v>
      </c>
      <c r="AL200" t="s">
        <v>1001</v>
      </c>
      <c r="AM200" t="s">
        <v>967</v>
      </c>
      <c r="AP200" t="s">
        <v>1264</v>
      </c>
      <c r="AQ200" t="s">
        <v>1088</v>
      </c>
      <c r="AR200" t="s">
        <v>1265</v>
      </c>
      <c r="AS200" t="s">
        <v>1088</v>
      </c>
      <c r="AT200" t="s">
        <v>1088</v>
      </c>
      <c r="AU200" t="s">
        <v>886</v>
      </c>
      <c r="AW200" t="s">
        <v>1226</v>
      </c>
      <c r="AX200" t="s">
        <v>957</v>
      </c>
      <c r="AZ200" t="s">
        <v>1266</v>
      </c>
      <c r="BA200" t="s">
        <v>1267</v>
      </c>
      <c r="BK200" t="s">
        <v>1134</v>
      </c>
      <c r="BL200">
        <v>705</v>
      </c>
      <c r="BM200">
        <v>65.14</v>
      </c>
      <c r="BN200">
        <v>16147.5</v>
      </c>
      <c r="BO200">
        <v>25539.65</v>
      </c>
      <c r="BP200">
        <v>25539.65</v>
      </c>
      <c r="BQ200">
        <v>28501.1</v>
      </c>
      <c r="BR200">
        <v>2961.45</v>
      </c>
      <c r="BS200" t="s">
        <v>892</v>
      </c>
      <c r="BT200">
        <v>2958</v>
      </c>
      <c r="BV200" t="s">
        <v>1268</v>
      </c>
      <c r="BW200" t="s">
        <v>1269</v>
      </c>
      <c r="BX200" t="s">
        <v>895</v>
      </c>
      <c r="BY200" t="s">
        <v>2505</v>
      </c>
      <c r="CD200" t="s">
        <v>2506</v>
      </c>
      <c r="CG200" t="s">
        <v>2509</v>
      </c>
      <c r="CH200" t="s">
        <v>994</v>
      </c>
      <c r="CI200" t="s">
        <v>2509</v>
      </c>
      <c r="CJ200" t="s">
        <v>2509</v>
      </c>
      <c r="CP200" t="s">
        <v>956</v>
      </c>
      <c r="CT200" t="s">
        <v>901</v>
      </c>
    </row>
    <row r="201" spans="1:98" x14ac:dyDescent="0.15">
      <c r="A201" t="s">
        <v>861</v>
      </c>
      <c r="B201" t="s">
        <v>862</v>
      </c>
      <c r="C201" t="s">
        <v>104</v>
      </c>
      <c r="D201" t="s">
        <v>104</v>
      </c>
      <c r="E201" t="s">
        <v>104</v>
      </c>
      <c r="F201" t="s">
        <v>863</v>
      </c>
      <c r="G201" t="s">
        <v>864</v>
      </c>
      <c r="H201" t="s">
        <v>937</v>
      </c>
      <c r="I201" t="s">
        <v>103</v>
      </c>
      <c r="J201" t="s">
        <v>2510</v>
      </c>
      <c r="K201" t="s">
        <v>1481</v>
      </c>
      <c r="L201" t="s">
        <v>868</v>
      </c>
      <c r="N201" t="s">
        <v>861</v>
      </c>
      <c r="O201">
        <v>0</v>
      </c>
      <c r="P201" t="s">
        <v>869</v>
      </c>
      <c r="Q201" t="s">
        <v>15</v>
      </c>
      <c r="R201" t="s">
        <v>870</v>
      </c>
      <c r="S201" t="s">
        <v>954</v>
      </c>
      <c r="T201" t="s">
        <v>2511</v>
      </c>
      <c r="U201" t="s">
        <v>2511</v>
      </c>
      <c r="V201" t="s">
        <v>1356</v>
      </c>
      <c r="W201" t="s">
        <v>1525</v>
      </c>
      <c r="Y201" t="s">
        <v>874</v>
      </c>
      <c r="Z201" t="s">
        <v>861</v>
      </c>
      <c r="AA201" t="s">
        <v>958</v>
      </c>
      <c r="AB201" t="s">
        <v>2512</v>
      </c>
      <c r="AD201" t="s">
        <v>1484</v>
      </c>
      <c r="AF201" t="s">
        <v>2513</v>
      </c>
      <c r="AG201" t="s">
        <v>2514</v>
      </c>
      <c r="AH201" t="s">
        <v>2515</v>
      </c>
      <c r="AJ201" t="s">
        <v>861</v>
      </c>
      <c r="AK201" t="s">
        <v>880</v>
      </c>
      <c r="AL201" t="s">
        <v>966</v>
      </c>
      <c r="AM201" t="s">
        <v>967</v>
      </c>
      <c r="AP201" t="s">
        <v>968</v>
      </c>
      <c r="AQ201" t="s">
        <v>1526</v>
      </c>
      <c r="AS201" t="s">
        <v>1526</v>
      </c>
      <c r="AT201" t="s">
        <v>1526</v>
      </c>
      <c r="AU201" t="s">
        <v>886</v>
      </c>
      <c r="AW201" t="s">
        <v>968</v>
      </c>
      <c r="AX201" t="s">
        <v>1526</v>
      </c>
      <c r="AZ201" t="s">
        <v>1003</v>
      </c>
      <c r="BA201" t="s">
        <v>968</v>
      </c>
      <c r="BK201" t="s">
        <v>1134</v>
      </c>
      <c r="BL201">
        <v>348</v>
      </c>
      <c r="BM201">
        <v>65.489999999999995</v>
      </c>
      <c r="BN201">
        <v>12373.8</v>
      </c>
      <c r="BO201">
        <v>31416.51</v>
      </c>
      <c r="BP201">
        <v>31416.51</v>
      </c>
      <c r="BQ201">
        <v>34247.660000000003</v>
      </c>
      <c r="BR201">
        <v>2831.14</v>
      </c>
      <c r="BS201" t="s">
        <v>892</v>
      </c>
      <c r="BT201">
        <v>2827</v>
      </c>
      <c r="BV201" t="s">
        <v>2516</v>
      </c>
      <c r="BW201" t="s">
        <v>2517</v>
      </c>
      <c r="BX201" t="s">
        <v>895</v>
      </c>
      <c r="BY201" t="s">
        <v>2518</v>
      </c>
      <c r="CD201" t="s">
        <v>2519</v>
      </c>
      <c r="CG201" t="s">
        <v>2510</v>
      </c>
      <c r="CH201" t="s">
        <v>1495</v>
      </c>
      <c r="CI201" t="s">
        <v>2520</v>
      </c>
      <c r="CJ201" t="s">
        <v>2520</v>
      </c>
      <c r="CP201" t="s">
        <v>2216</v>
      </c>
      <c r="CT201" t="s">
        <v>901</v>
      </c>
    </row>
    <row r="202" spans="1:98" x14ac:dyDescent="0.15">
      <c r="A202" t="s">
        <v>861</v>
      </c>
      <c r="B202" t="s">
        <v>862</v>
      </c>
      <c r="C202" t="s">
        <v>32</v>
      </c>
      <c r="D202" t="s">
        <v>32</v>
      </c>
      <c r="E202" t="s">
        <v>32</v>
      </c>
      <c r="F202" t="s">
        <v>863</v>
      </c>
      <c r="G202" t="s">
        <v>864</v>
      </c>
      <c r="H202" t="s">
        <v>937</v>
      </c>
      <c r="I202" t="s">
        <v>31</v>
      </c>
      <c r="J202" t="s">
        <v>2521</v>
      </c>
      <c r="K202" t="s">
        <v>1481</v>
      </c>
      <c r="L202" t="s">
        <v>868</v>
      </c>
      <c r="N202" t="s">
        <v>861</v>
      </c>
      <c r="O202">
        <v>0</v>
      </c>
      <c r="P202" t="s">
        <v>869</v>
      </c>
      <c r="Q202" t="s">
        <v>15</v>
      </c>
      <c r="R202" t="s">
        <v>870</v>
      </c>
      <c r="S202" t="s">
        <v>954</v>
      </c>
      <c r="T202" t="s">
        <v>2511</v>
      </c>
      <c r="U202" t="s">
        <v>2511</v>
      </c>
      <c r="V202" t="s">
        <v>1356</v>
      </c>
      <c r="W202" t="s">
        <v>1525</v>
      </c>
      <c r="Y202" t="s">
        <v>874</v>
      </c>
      <c r="Z202" t="s">
        <v>861</v>
      </c>
      <c r="AA202" t="s">
        <v>958</v>
      </c>
      <c r="AB202" t="s">
        <v>2522</v>
      </c>
      <c r="AD202" t="s">
        <v>1484</v>
      </c>
      <c r="AF202" t="s">
        <v>2513</v>
      </c>
      <c r="AG202" t="s">
        <v>2523</v>
      </c>
      <c r="AH202" t="s">
        <v>2515</v>
      </c>
      <c r="AJ202" t="s">
        <v>861</v>
      </c>
      <c r="AK202" t="s">
        <v>880</v>
      </c>
      <c r="AL202" t="s">
        <v>966</v>
      </c>
      <c r="AM202" t="s">
        <v>967</v>
      </c>
      <c r="AP202" t="s">
        <v>1526</v>
      </c>
      <c r="AQ202" t="s">
        <v>1526</v>
      </c>
      <c r="AS202" t="s">
        <v>1526</v>
      </c>
      <c r="AT202" t="s">
        <v>1526</v>
      </c>
      <c r="AU202" t="s">
        <v>886</v>
      </c>
      <c r="AW202" t="s">
        <v>968</v>
      </c>
      <c r="AX202" t="s">
        <v>1526</v>
      </c>
      <c r="AZ202" t="s">
        <v>1003</v>
      </c>
      <c r="BA202" t="s">
        <v>968</v>
      </c>
      <c r="BK202" t="s">
        <v>1134</v>
      </c>
      <c r="BL202">
        <v>466</v>
      </c>
      <c r="BM202">
        <v>65.95</v>
      </c>
      <c r="BN202">
        <v>9388</v>
      </c>
      <c r="BO202">
        <v>24189.62</v>
      </c>
      <c r="BP202">
        <v>24189.62</v>
      </c>
      <c r="BQ202">
        <v>27019.89</v>
      </c>
      <c r="BR202">
        <v>2830.27</v>
      </c>
      <c r="BS202" t="s">
        <v>892</v>
      </c>
      <c r="BT202">
        <v>2827</v>
      </c>
      <c r="BV202" t="s">
        <v>2516</v>
      </c>
      <c r="BW202" t="s">
        <v>2517</v>
      </c>
      <c r="BX202" t="s">
        <v>895</v>
      </c>
      <c r="BY202" t="s">
        <v>2524</v>
      </c>
      <c r="CD202" t="s">
        <v>2525</v>
      </c>
      <c r="CG202" t="s">
        <v>2521</v>
      </c>
      <c r="CH202" t="s">
        <v>1495</v>
      </c>
      <c r="CI202" t="s">
        <v>2526</v>
      </c>
      <c r="CJ202" t="s">
        <v>2526</v>
      </c>
      <c r="CP202" t="s">
        <v>2216</v>
      </c>
      <c r="CT202" t="s">
        <v>901</v>
      </c>
    </row>
    <row r="203" spans="1:98" x14ac:dyDescent="0.15">
      <c r="A203" t="s">
        <v>861</v>
      </c>
      <c r="B203" t="s">
        <v>862</v>
      </c>
      <c r="C203" t="s">
        <v>110</v>
      </c>
      <c r="D203" t="s">
        <v>110</v>
      </c>
      <c r="E203" t="s">
        <v>110</v>
      </c>
      <c r="F203" t="s">
        <v>863</v>
      </c>
      <c r="G203" t="s">
        <v>864</v>
      </c>
      <c r="H203" t="s">
        <v>937</v>
      </c>
      <c r="I203" t="s">
        <v>109</v>
      </c>
      <c r="J203" t="s">
        <v>2527</v>
      </c>
      <c r="K203" t="s">
        <v>1481</v>
      </c>
      <c r="L203" t="s">
        <v>868</v>
      </c>
      <c r="N203" t="s">
        <v>1259</v>
      </c>
      <c r="O203">
        <v>0</v>
      </c>
      <c r="P203" t="s">
        <v>869</v>
      </c>
      <c r="Q203" t="s">
        <v>15</v>
      </c>
      <c r="R203" t="s">
        <v>870</v>
      </c>
      <c r="S203" t="s">
        <v>954</v>
      </c>
      <c r="T203" t="s">
        <v>2511</v>
      </c>
      <c r="U203" t="s">
        <v>2511</v>
      </c>
      <c r="V203" t="s">
        <v>1356</v>
      </c>
      <c r="W203" t="s">
        <v>1525</v>
      </c>
      <c r="Y203" t="s">
        <v>910</v>
      </c>
      <c r="Z203" t="s">
        <v>861</v>
      </c>
      <c r="AA203" t="s">
        <v>958</v>
      </c>
      <c r="AB203" t="s">
        <v>2528</v>
      </c>
      <c r="AD203" t="s">
        <v>1484</v>
      </c>
      <c r="AF203" t="s">
        <v>2513</v>
      </c>
      <c r="AG203" t="s">
        <v>2529</v>
      </c>
      <c r="AH203" t="s">
        <v>2515</v>
      </c>
      <c r="AJ203" t="s">
        <v>861</v>
      </c>
      <c r="AK203" t="s">
        <v>880</v>
      </c>
      <c r="AL203" t="s">
        <v>966</v>
      </c>
      <c r="AM203" t="s">
        <v>967</v>
      </c>
      <c r="AP203" t="s">
        <v>968</v>
      </c>
      <c r="AQ203" t="s">
        <v>1526</v>
      </c>
      <c r="AS203" t="s">
        <v>1526</v>
      </c>
      <c r="AT203" t="s">
        <v>1526</v>
      </c>
      <c r="AU203" t="s">
        <v>886</v>
      </c>
      <c r="AW203" t="s">
        <v>968</v>
      </c>
      <c r="AX203" t="s">
        <v>1526</v>
      </c>
      <c r="AZ203" t="s">
        <v>1003</v>
      </c>
      <c r="BA203" t="s">
        <v>968</v>
      </c>
      <c r="BK203" t="s">
        <v>1134</v>
      </c>
      <c r="BL203">
        <v>500</v>
      </c>
      <c r="BM203">
        <v>67.97</v>
      </c>
      <c r="BN203">
        <v>12396</v>
      </c>
      <c r="BO203">
        <v>27487.599999999999</v>
      </c>
      <c r="BP203">
        <v>27487.599999999999</v>
      </c>
      <c r="BQ203">
        <v>30318.27</v>
      </c>
      <c r="BR203">
        <v>2830.67</v>
      </c>
      <c r="BS203" t="s">
        <v>892</v>
      </c>
      <c r="BT203">
        <v>2827</v>
      </c>
      <c r="BV203" t="s">
        <v>2516</v>
      </c>
      <c r="BW203" t="s">
        <v>2517</v>
      </c>
      <c r="BX203" t="s">
        <v>895</v>
      </c>
      <c r="BY203" t="s">
        <v>1366</v>
      </c>
      <c r="CD203" t="s">
        <v>2525</v>
      </c>
      <c r="CG203" t="s">
        <v>2527</v>
      </c>
      <c r="CH203" t="s">
        <v>1495</v>
      </c>
      <c r="CI203" t="s">
        <v>2530</v>
      </c>
      <c r="CJ203" t="s">
        <v>2530</v>
      </c>
      <c r="CP203" t="s">
        <v>2216</v>
      </c>
      <c r="CT203" t="s">
        <v>901</v>
      </c>
    </row>
    <row r="204" spans="1:98" x14ac:dyDescent="0.15">
      <c r="A204" t="s">
        <v>861</v>
      </c>
      <c r="B204" t="s">
        <v>862</v>
      </c>
      <c r="C204" t="s">
        <v>34</v>
      </c>
      <c r="D204" t="s">
        <v>34</v>
      </c>
      <c r="E204" t="s">
        <v>34</v>
      </c>
      <c r="F204" t="s">
        <v>863</v>
      </c>
      <c r="G204" t="s">
        <v>864</v>
      </c>
      <c r="H204" t="s">
        <v>937</v>
      </c>
      <c r="I204" t="s">
        <v>33</v>
      </c>
      <c r="J204" t="s">
        <v>2531</v>
      </c>
      <c r="K204" t="s">
        <v>1481</v>
      </c>
      <c r="L204" t="s">
        <v>868</v>
      </c>
      <c r="N204" t="s">
        <v>861</v>
      </c>
      <c r="O204">
        <v>0</v>
      </c>
      <c r="P204" t="s">
        <v>869</v>
      </c>
      <c r="Q204" t="s">
        <v>15</v>
      </c>
      <c r="R204" t="s">
        <v>870</v>
      </c>
      <c r="S204" t="s">
        <v>954</v>
      </c>
      <c r="T204" t="s">
        <v>2511</v>
      </c>
      <c r="U204" t="s">
        <v>2511</v>
      </c>
      <c r="V204" t="s">
        <v>1356</v>
      </c>
      <c r="W204" t="s">
        <v>1525</v>
      </c>
      <c r="Y204" t="s">
        <v>910</v>
      </c>
      <c r="Z204" t="s">
        <v>861</v>
      </c>
      <c r="AA204" t="s">
        <v>958</v>
      </c>
      <c r="AB204" t="s">
        <v>2532</v>
      </c>
      <c r="AD204" t="s">
        <v>1484</v>
      </c>
      <c r="AF204" t="s">
        <v>2513</v>
      </c>
      <c r="AG204" t="s">
        <v>2533</v>
      </c>
      <c r="AH204" t="s">
        <v>2515</v>
      </c>
      <c r="AJ204" t="s">
        <v>861</v>
      </c>
      <c r="AK204" t="s">
        <v>880</v>
      </c>
      <c r="AL204" t="s">
        <v>966</v>
      </c>
      <c r="AM204" t="s">
        <v>967</v>
      </c>
      <c r="AP204" t="s">
        <v>1526</v>
      </c>
      <c r="AQ204" t="s">
        <v>1526</v>
      </c>
      <c r="AS204" t="s">
        <v>1526</v>
      </c>
      <c r="AT204" t="s">
        <v>1526</v>
      </c>
      <c r="AU204" t="s">
        <v>886</v>
      </c>
      <c r="AW204" t="s">
        <v>968</v>
      </c>
      <c r="AX204" t="s">
        <v>968</v>
      </c>
      <c r="AZ204" t="s">
        <v>1003</v>
      </c>
      <c r="BA204" t="s">
        <v>942</v>
      </c>
      <c r="BK204" t="s">
        <v>1134</v>
      </c>
      <c r="BL204">
        <v>591</v>
      </c>
      <c r="BM204">
        <v>69.569999999999993</v>
      </c>
      <c r="BN204">
        <v>11622.4</v>
      </c>
      <c r="BO204">
        <v>39780.300000000003</v>
      </c>
      <c r="BP204">
        <v>39780.300000000003</v>
      </c>
      <c r="BQ204">
        <v>42612.46</v>
      </c>
      <c r="BR204">
        <v>2832.16</v>
      </c>
      <c r="BS204" t="s">
        <v>892</v>
      </c>
      <c r="BT204">
        <v>2827</v>
      </c>
      <c r="BV204" t="s">
        <v>2516</v>
      </c>
      <c r="BW204" t="s">
        <v>2517</v>
      </c>
      <c r="BX204" t="s">
        <v>895</v>
      </c>
      <c r="BY204" t="s">
        <v>2534</v>
      </c>
      <c r="CD204" t="s">
        <v>2535</v>
      </c>
      <c r="CG204" t="s">
        <v>2531</v>
      </c>
      <c r="CH204" t="s">
        <v>1495</v>
      </c>
      <c r="CI204" t="s">
        <v>2536</v>
      </c>
      <c r="CJ204" t="s">
        <v>2536</v>
      </c>
      <c r="CP204" t="s">
        <v>2216</v>
      </c>
      <c r="CT204" t="s">
        <v>901</v>
      </c>
    </row>
    <row r="205" spans="1:98" x14ac:dyDescent="0.15">
      <c r="A205" t="s">
        <v>861</v>
      </c>
      <c r="B205" t="s">
        <v>862</v>
      </c>
      <c r="C205" t="s">
        <v>59</v>
      </c>
      <c r="D205" t="s">
        <v>59</v>
      </c>
      <c r="E205" t="s">
        <v>59</v>
      </c>
      <c r="F205" t="s">
        <v>863</v>
      </c>
      <c r="G205" t="s">
        <v>864</v>
      </c>
      <c r="H205" t="s">
        <v>937</v>
      </c>
      <c r="I205" t="s">
        <v>58</v>
      </c>
      <c r="J205" t="s">
        <v>2537</v>
      </c>
      <c r="K205" t="s">
        <v>1481</v>
      </c>
      <c r="L205" t="s">
        <v>868</v>
      </c>
      <c r="N205" t="s">
        <v>861</v>
      </c>
      <c r="O205">
        <v>0</v>
      </c>
      <c r="P205" t="s">
        <v>869</v>
      </c>
      <c r="Q205" t="s">
        <v>15</v>
      </c>
      <c r="R205" t="s">
        <v>870</v>
      </c>
      <c r="S205" t="s">
        <v>954</v>
      </c>
      <c r="T205" t="s">
        <v>2511</v>
      </c>
      <c r="U205" t="s">
        <v>2511</v>
      </c>
      <c r="V205" t="s">
        <v>1356</v>
      </c>
      <c r="W205" t="s">
        <v>1525</v>
      </c>
      <c r="Y205" t="s">
        <v>874</v>
      </c>
      <c r="Z205" t="s">
        <v>861</v>
      </c>
      <c r="AA205" t="s">
        <v>875</v>
      </c>
      <c r="AF205" t="s">
        <v>2513</v>
      </c>
      <c r="AG205" t="s">
        <v>2538</v>
      </c>
      <c r="AH205" t="s">
        <v>2515</v>
      </c>
      <c r="AJ205" t="s">
        <v>861</v>
      </c>
      <c r="AK205" t="s">
        <v>880</v>
      </c>
      <c r="AL205" t="s">
        <v>966</v>
      </c>
      <c r="AM205" t="s">
        <v>967</v>
      </c>
      <c r="AP205" t="s">
        <v>1526</v>
      </c>
      <c r="AQ205" t="s">
        <v>1526</v>
      </c>
      <c r="AS205" t="s">
        <v>1526</v>
      </c>
      <c r="AT205" t="s">
        <v>1526</v>
      </c>
      <c r="AU205" t="s">
        <v>886</v>
      </c>
      <c r="AW205" t="s">
        <v>968</v>
      </c>
      <c r="AX205" t="s">
        <v>968</v>
      </c>
      <c r="AZ205" t="s">
        <v>1003</v>
      </c>
      <c r="BA205" t="s">
        <v>942</v>
      </c>
      <c r="BK205" t="s">
        <v>1134</v>
      </c>
      <c r="BL205">
        <v>1434</v>
      </c>
      <c r="BM205">
        <v>66.650000000000006</v>
      </c>
      <c r="BN205">
        <v>15536.6</v>
      </c>
      <c r="BO205">
        <v>28746.2</v>
      </c>
      <c r="BP205">
        <v>28746.2</v>
      </c>
      <c r="BQ205">
        <v>31577.01</v>
      </c>
      <c r="BR205">
        <v>2830.82</v>
      </c>
      <c r="BS205" t="s">
        <v>892</v>
      </c>
      <c r="BT205">
        <v>2827</v>
      </c>
      <c r="BV205" t="s">
        <v>2516</v>
      </c>
      <c r="BW205" t="s">
        <v>2517</v>
      </c>
      <c r="BX205" t="s">
        <v>895</v>
      </c>
      <c r="BY205" t="s">
        <v>2539</v>
      </c>
      <c r="CD205" t="s">
        <v>2540</v>
      </c>
      <c r="CG205" t="s">
        <v>2537</v>
      </c>
      <c r="CH205" t="s">
        <v>1495</v>
      </c>
      <c r="CI205" t="s">
        <v>2541</v>
      </c>
      <c r="CJ205" t="s">
        <v>2541</v>
      </c>
      <c r="CP205" t="s">
        <v>2216</v>
      </c>
      <c r="CT205" t="s">
        <v>901</v>
      </c>
    </row>
    <row r="206" spans="1:98" x14ac:dyDescent="0.15">
      <c r="A206" t="s">
        <v>861</v>
      </c>
      <c r="B206" t="s">
        <v>862</v>
      </c>
      <c r="C206" t="s">
        <v>516</v>
      </c>
      <c r="D206" t="s">
        <v>516</v>
      </c>
      <c r="E206" t="s">
        <v>516</v>
      </c>
      <c r="F206" t="s">
        <v>863</v>
      </c>
      <c r="G206" t="s">
        <v>864</v>
      </c>
      <c r="H206" t="s">
        <v>916</v>
      </c>
      <c r="I206" t="s">
        <v>514</v>
      </c>
      <c r="J206" t="s">
        <v>2542</v>
      </c>
      <c r="K206" t="s">
        <v>1481</v>
      </c>
      <c r="L206" t="s">
        <v>868</v>
      </c>
      <c r="N206" t="s">
        <v>861</v>
      </c>
      <c r="O206">
        <v>0</v>
      </c>
      <c r="P206" t="s">
        <v>869</v>
      </c>
      <c r="Q206" t="s">
        <v>15</v>
      </c>
      <c r="R206" t="s">
        <v>870</v>
      </c>
      <c r="S206" t="s">
        <v>954</v>
      </c>
      <c r="T206" t="s">
        <v>2543</v>
      </c>
      <c r="U206" t="s">
        <v>2543</v>
      </c>
      <c r="V206" t="s">
        <v>1356</v>
      </c>
      <c r="W206" t="s">
        <v>1267</v>
      </c>
      <c r="Y206" t="s">
        <v>874</v>
      </c>
      <c r="Z206" t="s">
        <v>861</v>
      </c>
      <c r="AA206" t="s">
        <v>958</v>
      </c>
      <c r="AB206" t="s">
        <v>2544</v>
      </c>
      <c r="AD206" t="s">
        <v>923</v>
      </c>
      <c r="AE206" t="s">
        <v>2545</v>
      </c>
      <c r="AJ206" t="s">
        <v>861</v>
      </c>
      <c r="AK206" t="s">
        <v>880</v>
      </c>
      <c r="AL206" t="s">
        <v>1001</v>
      </c>
      <c r="AM206" t="s">
        <v>967</v>
      </c>
      <c r="AP206" t="s">
        <v>965</v>
      </c>
      <c r="AQ206" t="s">
        <v>965</v>
      </c>
      <c r="AS206" t="s">
        <v>965</v>
      </c>
      <c r="AT206" t="s">
        <v>965</v>
      </c>
      <c r="AU206" t="s">
        <v>886</v>
      </c>
      <c r="AW206" t="s">
        <v>969</v>
      </c>
      <c r="AX206" t="s">
        <v>969</v>
      </c>
      <c r="AZ206" t="s">
        <v>2546</v>
      </c>
      <c r="BA206" t="s">
        <v>1425</v>
      </c>
      <c r="BK206" t="s">
        <v>1134</v>
      </c>
      <c r="BL206">
        <v>546</v>
      </c>
      <c r="BM206">
        <v>67.87</v>
      </c>
      <c r="BN206">
        <v>18804.400000000001</v>
      </c>
      <c r="BO206">
        <v>30666.94</v>
      </c>
      <c r="BP206">
        <v>30666.94</v>
      </c>
      <c r="BQ206">
        <v>33498</v>
      </c>
      <c r="BR206">
        <v>2831.05</v>
      </c>
      <c r="BS206" t="s">
        <v>892</v>
      </c>
      <c r="BT206">
        <v>2827</v>
      </c>
      <c r="BV206" t="s">
        <v>2516</v>
      </c>
      <c r="BW206" t="s">
        <v>2517</v>
      </c>
      <c r="BX206" t="s">
        <v>895</v>
      </c>
      <c r="BY206" t="s">
        <v>2539</v>
      </c>
      <c r="CD206" t="s">
        <v>2547</v>
      </c>
      <c r="CG206" t="s">
        <v>2542</v>
      </c>
      <c r="CH206" t="s">
        <v>1495</v>
      </c>
      <c r="CI206" t="s">
        <v>2548</v>
      </c>
      <c r="CJ206" t="s">
        <v>2548</v>
      </c>
      <c r="CP206" t="s">
        <v>1356</v>
      </c>
      <c r="CT206" t="s">
        <v>901</v>
      </c>
    </row>
    <row r="207" spans="1:98" x14ac:dyDescent="0.15">
      <c r="A207" t="s">
        <v>861</v>
      </c>
      <c r="B207" t="s">
        <v>862</v>
      </c>
      <c r="C207" t="s">
        <v>55</v>
      </c>
      <c r="D207" t="s">
        <v>55</v>
      </c>
      <c r="E207" t="s">
        <v>55</v>
      </c>
      <c r="F207" t="s">
        <v>863</v>
      </c>
      <c r="G207" t="s">
        <v>864</v>
      </c>
      <c r="H207" t="s">
        <v>937</v>
      </c>
      <c r="I207" t="s">
        <v>54</v>
      </c>
      <c r="J207" t="s">
        <v>2549</v>
      </c>
      <c r="K207" t="s">
        <v>1481</v>
      </c>
      <c r="L207" t="s">
        <v>868</v>
      </c>
      <c r="N207" t="s">
        <v>861</v>
      </c>
      <c r="O207">
        <v>0</v>
      </c>
      <c r="P207" t="s">
        <v>869</v>
      </c>
      <c r="Q207" t="s">
        <v>15</v>
      </c>
      <c r="R207" t="s">
        <v>870</v>
      </c>
      <c r="S207" t="s">
        <v>954</v>
      </c>
      <c r="T207" t="s">
        <v>2511</v>
      </c>
      <c r="U207" t="s">
        <v>2511</v>
      </c>
      <c r="V207" t="s">
        <v>1356</v>
      </c>
      <c r="W207" t="s">
        <v>1525</v>
      </c>
      <c r="Y207" t="s">
        <v>910</v>
      </c>
      <c r="Z207" t="s">
        <v>861</v>
      </c>
      <c r="AA207" t="s">
        <v>958</v>
      </c>
      <c r="AB207" t="s">
        <v>2550</v>
      </c>
      <c r="AF207" t="s">
        <v>2513</v>
      </c>
      <c r="AG207" t="s">
        <v>2551</v>
      </c>
      <c r="AH207" t="s">
        <v>2515</v>
      </c>
      <c r="AJ207" t="s">
        <v>861</v>
      </c>
      <c r="AK207" t="s">
        <v>880</v>
      </c>
      <c r="AL207" t="s">
        <v>1001</v>
      </c>
      <c r="AM207" t="s">
        <v>967</v>
      </c>
      <c r="AP207" t="s">
        <v>1526</v>
      </c>
      <c r="AQ207" t="s">
        <v>1526</v>
      </c>
      <c r="AS207" t="s">
        <v>1526</v>
      </c>
      <c r="AT207" t="s">
        <v>1526</v>
      </c>
      <c r="AU207" t="s">
        <v>886</v>
      </c>
      <c r="AW207" t="s">
        <v>968</v>
      </c>
      <c r="AX207" t="s">
        <v>968</v>
      </c>
      <c r="AZ207" t="s">
        <v>1003</v>
      </c>
      <c r="BA207" t="s">
        <v>942</v>
      </c>
      <c r="BK207" t="s">
        <v>1134</v>
      </c>
      <c r="BL207">
        <v>714</v>
      </c>
      <c r="BM207">
        <v>64.22</v>
      </c>
      <c r="BN207">
        <v>13673.6</v>
      </c>
      <c r="BO207">
        <v>27418.39</v>
      </c>
      <c r="BP207">
        <v>27418.39</v>
      </c>
      <c r="BQ207">
        <v>30249.05</v>
      </c>
      <c r="BR207">
        <v>2830.66</v>
      </c>
      <c r="BS207" t="s">
        <v>892</v>
      </c>
      <c r="BT207">
        <v>2827</v>
      </c>
      <c r="BV207" t="s">
        <v>2516</v>
      </c>
      <c r="BW207" t="s">
        <v>2517</v>
      </c>
      <c r="BX207" t="s">
        <v>895</v>
      </c>
      <c r="BY207" t="s">
        <v>2552</v>
      </c>
      <c r="CD207" t="s">
        <v>2553</v>
      </c>
      <c r="CG207" t="s">
        <v>2549</v>
      </c>
      <c r="CH207" t="s">
        <v>1495</v>
      </c>
      <c r="CI207" t="s">
        <v>2554</v>
      </c>
      <c r="CJ207" t="s">
        <v>2554</v>
      </c>
      <c r="CP207" t="s">
        <v>2216</v>
      </c>
      <c r="CT207" t="s">
        <v>901</v>
      </c>
    </row>
    <row r="208" spans="1:98" x14ac:dyDescent="0.15">
      <c r="A208" t="s">
        <v>861</v>
      </c>
      <c r="B208" t="s">
        <v>862</v>
      </c>
      <c r="C208" t="s">
        <v>51</v>
      </c>
      <c r="D208" t="s">
        <v>51</v>
      </c>
      <c r="E208" t="s">
        <v>51</v>
      </c>
      <c r="F208" t="s">
        <v>863</v>
      </c>
      <c r="G208" t="s">
        <v>864</v>
      </c>
      <c r="H208" t="s">
        <v>937</v>
      </c>
      <c r="I208" t="s">
        <v>50</v>
      </c>
      <c r="J208" t="s">
        <v>2555</v>
      </c>
      <c r="K208" t="s">
        <v>1481</v>
      </c>
      <c r="L208" t="s">
        <v>868</v>
      </c>
      <c r="N208" t="s">
        <v>861</v>
      </c>
      <c r="O208">
        <v>0</v>
      </c>
      <c r="P208" t="s">
        <v>869</v>
      </c>
      <c r="Q208" t="s">
        <v>15</v>
      </c>
      <c r="R208" t="s">
        <v>870</v>
      </c>
      <c r="S208" t="s">
        <v>954</v>
      </c>
      <c r="T208" t="s">
        <v>2511</v>
      </c>
      <c r="U208" t="s">
        <v>2511</v>
      </c>
      <c r="V208" t="s">
        <v>1356</v>
      </c>
      <c r="W208" t="s">
        <v>1525</v>
      </c>
      <c r="Y208" t="s">
        <v>874</v>
      </c>
      <c r="Z208" t="s">
        <v>861</v>
      </c>
      <c r="AA208" t="s">
        <v>958</v>
      </c>
      <c r="AB208" t="s">
        <v>2556</v>
      </c>
      <c r="AF208" t="s">
        <v>2513</v>
      </c>
      <c r="AG208" t="s">
        <v>2557</v>
      </c>
      <c r="AH208" t="s">
        <v>2515</v>
      </c>
      <c r="AJ208" t="s">
        <v>861</v>
      </c>
      <c r="AK208" t="s">
        <v>880</v>
      </c>
      <c r="AL208" t="s">
        <v>1001</v>
      </c>
      <c r="AM208" t="s">
        <v>967</v>
      </c>
      <c r="AP208" t="s">
        <v>1526</v>
      </c>
      <c r="AQ208" t="s">
        <v>1526</v>
      </c>
      <c r="AS208" t="s">
        <v>1526</v>
      </c>
      <c r="AT208" t="s">
        <v>1526</v>
      </c>
      <c r="AU208" t="s">
        <v>886</v>
      </c>
      <c r="AW208" t="s">
        <v>968</v>
      </c>
      <c r="AX208" t="s">
        <v>968</v>
      </c>
      <c r="AZ208" t="s">
        <v>1003</v>
      </c>
      <c r="BA208" t="s">
        <v>942</v>
      </c>
      <c r="BK208" t="s">
        <v>1134</v>
      </c>
      <c r="BL208">
        <v>329</v>
      </c>
      <c r="BM208">
        <v>65.849999999999994</v>
      </c>
      <c r="BN208">
        <v>7037</v>
      </c>
      <c r="BO208">
        <v>17920.5</v>
      </c>
      <c r="BP208">
        <v>17920.5</v>
      </c>
      <c r="BQ208">
        <v>20750</v>
      </c>
      <c r="BR208">
        <v>2829.51</v>
      </c>
      <c r="BS208" t="s">
        <v>892</v>
      </c>
      <c r="BT208">
        <v>2827</v>
      </c>
      <c r="BV208" t="s">
        <v>2516</v>
      </c>
      <c r="BW208" t="s">
        <v>2517</v>
      </c>
      <c r="BX208" t="s">
        <v>895</v>
      </c>
      <c r="BY208" t="s">
        <v>2558</v>
      </c>
      <c r="CD208" t="s">
        <v>2559</v>
      </c>
      <c r="CG208" t="s">
        <v>2555</v>
      </c>
      <c r="CH208" t="s">
        <v>1495</v>
      </c>
      <c r="CI208" t="s">
        <v>2560</v>
      </c>
      <c r="CJ208" t="s">
        <v>2560</v>
      </c>
      <c r="CP208" t="s">
        <v>2216</v>
      </c>
      <c r="CT208" t="s">
        <v>901</v>
      </c>
    </row>
    <row r="209" spans="1:98" x14ac:dyDescent="0.15">
      <c r="A209" t="s">
        <v>861</v>
      </c>
      <c r="B209" t="s">
        <v>862</v>
      </c>
      <c r="C209" t="s">
        <v>69</v>
      </c>
      <c r="D209" t="s">
        <v>69</v>
      </c>
      <c r="E209" t="s">
        <v>69</v>
      </c>
      <c r="F209" t="s">
        <v>863</v>
      </c>
      <c r="G209" t="s">
        <v>864</v>
      </c>
      <c r="H209" t="s">
        <v>937</v>
      </c>
      <c r="I209" t="s">
        <v>68</v>
      </c>
      <c r="J209" t="s">
        <v>2561</v>
      </c>
      <c r="K209" t="s">
        <v>1481</v>
      </c>
      <c r="L209" t="s">
        <v>868</v>
      </c>
      <c r="N209" t="s">
        <v>861</v>
      </c>
      <c r="O209">
        <v>0</v>
      </c>
      <c r="P209" t="s">
        <v>869</v>
      </c>
      <c r="Q209" t="s">
        <v>15</v>
      </c>
      <c r="R209" t="s">
        <v>870</v>
      </c>
      <c r="S209" t="s">
        <v>954</v>
      </c>
      <c r="T209" t="s">
        <v>2511</v>
      </c>
      <c r="U209" t="s">
        <v>2511</v>
      </c>
      <c r="V209" t="s">
        <v>1356</v>
      </c>
      <c r="W209" t="s">
        <v>1525</v>
      </c>
      <c r="Y209" t="s">
        <v>874</v>
      </c>
      <c r="Z209" t="s">
        <v>861</v>
      </c>
      <c r="AA209" t="s">
        <v>958</v>
      </c>
      <c r="AB209" t="s">
        <v>2562</v>
      </c>
      <c r="AF209" t="s">
        <v>2513</v>
      </c>
      <c r="AG209" t="s">
        <v>2563</v>
      </c>
      <c r="AH209" t="s">
        <v>2515</v>
      </c>
      <c r="AJ209" t="s">
        <v>861</v>
      </c>
      <c r="AK209" t="s">
        <v>880</v>
      </c>
      <c r="AL209" t="s">
        <v>1001</v>
      </c>
      <c r="AM209" t="s">
        <v>967</v>
      </c>
      <c r="AP209" t="s">
        <v>1526</v>
      </c>
      <c r="AQ209" t="s">
        <v>1526</v>
      </c>
      <c r="AS209" t="s">
        <v>1526</v>
      </c>
      <c r="AT209" t="s">
        <v>1526</v>
      </c>
      <c r="AU209" t="s">
        <v>886</v>
      </c>
      <c r="AW209" t="s">
        <v>968</v>
      </c>
      <c r="AX209" t="s">
        <v>968</v>
      </c>
      <c r="AZ209" t="s">
        <v>1003</v>
      </c>
      <c r="BA209" t="s">
        <v>942</v>
      </c>
      <c r="BK209" t="s">
        <v>1134</v>
      </c>
      <c r="BL209">
        <v>739</v>
      </c>
      <c r="BM209">
        <v>71.91</v>
      </c>
      <c r="BN209">
        <v>7315</v>
      </c>
      <c r="BO209">
        <v>14043.74</v>
      </c>
      <c r="BP209">
        <v>14043.74</v>
      </c>
      <c r="BQ209">
        <v>16872.77</v>
      </c>
      <c r="BR209">
        <v>2829.04</v>
      </c>
      <c r="BS209" t="s">
        <v>892</v>
      </c>
      <c r="BT209">
        <v>2827</v>
      </c>
      <c r="BV209" t="s">
        <v>2516</v>
      </c>
      <c r="BW209" t="s">
        <v>2517</v>
      </c>
      <c r="BX209" t="s">
        <v>895</v>
      </c>
      <c r="BY209" t="s">
        <v>2539</v>
      </c>
      <c r="CD209" t="s">
        <v>2547</v>
      </c>
      <c r="CG209" t="s">
        <v>2561</v>
      </c>
      <c r="CH209" t="s">
        <v>1495</v>
      </c>
      <c r="CI209" t="s">
        <v>2564</v>
      </c>
      <c r="CJ209" t="s">
        <v>2564</v>
      </c>
      <c r="CP209" t="s">
        <v>2216</v>
      </c>
      <c r="CT209" t="s">
        <v>901</v>
      </c>
    </row>
    <row r="210" spans="1:98" x14ac:dyDescent="0.15">
      <c r="A210" t="s">
        <v>1259</v>
      </c>
      <c r="B210" t="s">
        <v>862</v>
      </c>
      <c r="C210" t="s">
        <v>63</v>
      </c>
      <c r="D210" t="s">
        <v>63</v>
      </c>
      <c r="E210" t="s">
        <v>63</v>
      </c>
      <c r="F210" t="s">
        <v>863</v>
      </c>
      <c r="G210" t="s">
        <v>864</v>
      </c>
      <c r="H210" t="s">
        <v>937</v>
      </c>
      <c r="I210" t="s">
        <v>62</v>
      </c>
      <c r="J210" t="s">
        <v>2565</v>
      </c>
      <c r="K210" t="s">
        <v>1481</v>
      </c>
      <c r="L210" t="s">
        <v>868</v>
      </c>
      <c r="N210" t="s">
        <v>861</v>
      </c>
      <c r="O210">
        <v>0</v>
      </c>
      <c r="P210" t="s">
        <v>869</v>
      </c>
      <c r="Q210" t="s">
        <v>15</v>
      </c>
      <c r="R210" t="s">
        <v>870</v>
      </c>
      <c r="S210" t="s">
        <v>954</v>
      </c>
      <c r="T210" t="s">
        <v>2511</v>
      </c>
      <c r="U210" t="s">
        <v>2511</v>
      </c>
      <c r="V210" t="s">
        <v>1356</v>
      </c>
      <c r="W210" t="s">
        <v>1525</v>
      </c>
      <c r="Y210" t="s">
        <v>874</v>
      </c>
      <c r="Z210" t="s">
        <v>861</v>
      </c>
      <c r="AA210" t="s">
        <v>958</v>
      </c>
      <c r="AB210" t="s">
        <v>2566</v>
      </c>
      <c r="AF210" t="s">
        <v>2513</v>
      </c>
      <c r="AG210" t="s">
        <v>2567</v>
      </c>
      <c r="AH210" t="s">
        <v>2515</v>
      </c>
      <c r="AJ210" t="s">
        <v>861</v>
      </c>
      <c r="AK210" t="s">
        <v>880</v>
      </c>
      <c r="AL210" t="s">
        <v>1001</v>
      </c>
      <c r="AM210" t="s">
        <v>967</v>
      </c>
      <c r="AP210" t="s">
        <v>1526</v>
      </c>
      <c r="AQ210" t="s">
        <v>1526</v>
      </c>
      <c r="AS210" t="s">
        <v>1526</v>
      </c>
      <c r="AT210" t="s">
        <v>1526</v>
      </c>
      <c r="AU210" t="s">
        <v>886</v>
      </c>
      <c r="AW210" t="s">
        <v>968</v>
      </c>
      <c r="AX210" t="s">
        <v>968</v>
      </c>
      <c r="AZ210" t="s">
        <v>1003</v>
      </c>
      <c r="BA210" t="s">
        <v>942</v>
      </c>
      <c r="BK210" t="s">
        <v>1134</v>
      </c>
      <c r="BL210">
        <v>288</v>
      </c>
      <c r="BM210">
        <v>68.31</v>
      </c>
      <c r="BN210">
        <v>5258.05</v>
      </c>
      <c r="BO210">
        <v>11494.98</v>
      </c>
      <c r="BP210">
        <v>11494.98</v>
      </c>
      <c r="BQ210">
        <v>14323.72</v>
      </c>
      <c r="BR210">
        <v>2828.73</v>
      </c>
      <c r="BS210" t="s">
        <v>892</v>
      </c>
      <c r="BT210">
        <v>2827</v>
      </c>
      <c r="BV210" t="s">
        <v>2516</v>
      </c>
      <c r="BW210" t="s">
        <v>2517</v>
      </c>
      <c r="BX210" t="s">
        <v>895</v>
      </c>
      <c r="BY210" t="s">
        <v>2568</v>
      </c>
      <c r="CD210" t="s">
        <v>2569</v>
      </c>
      <c r="CG210" t="s">
        <v>2565</v>
      </c>
      <c r="CH210" t="s">
        <v>1495</v>
      </c>
      <c r="CI210" t="s">
        <v>2570</v>
      </c>
      <c r="CJ210" t="s">
        <v>2570</v>
      </c>
      <c r="CP210" t="s">
        <v>2216</v>
      </c>
      <c r="CT210" t="s">
        <v>901</v>
      </c>
    </row>
    <row r="211" spans="1:98" x14ac:dyDescent="0.15">
      <c r="A211" t="s">
        <v>861</v>
      </c>
      <c r="B211" t="s">
        <v>862</v>
      </c>
      <c r="C211" t="s">
        <v>49</v>
      </c>
      <c r="D211" t="s">
        <v>49</v>
      </c>
      <c r="E211" t="s">
        <v>49</v>
      </c>
      <c r="F211" t="s">
        <v>863</v>
      </c>
      <c r="G211" t="s">
        <v>864</v>
      </c>
      <c r="H211" t="s">
        <v>937</v>
      </c>
      <c r="I211" t="s">
        <v>48</v>
      </c>
      <c r="J211" t="s">
        <v>2571</v>
      </c>
      <c r="K211" t="s">
        <v>1481</v>
      </c>
      <c r="L211" t="s">
        <v>868</v>
      </c>
      <c r="N211" t="s">
        <v>861</v>
      </c>
      <c r="O211">
        <v>0</v>
      </c>
      <c r="P211" t="s">
        <v>869</v>
      </c>
      <c r="Q211" t="s">
        <v>15</v>
      </c>
      <c r="R211" t="s">
        <v>870</v>
      </c>
      <c r="S211" t="s">
        <v>954</v>
      </c>
      <c r="T211" t="s">
        <v>2511</v>
      </c>
      <c r="U211" t="s">
        <v>2511</v>
      </c>
      <c r="V211" t="s">
        <v>1356</v>
      </c>
      <c r="W211" t="s">
        <v>1525</v>
      </c>
      <c r="Y211" t="s">
        <v>910</v>
      </c>
      <c r="Z211" t="s">
        <v>861</v>
      </c>
      <c r="AA211" t="s">
        <v>958</v>
      </c>
      <c r="AB211" t="s">
        <v>2572</v>
      </c>
      <c r="AF211" t="s">
        <v>2513</v>
      </c>
      <c r="AG211" t="s">
        <v>2573</v>
      </c>
      <c r="AH211" t="s">
        <v>2515</v>
      </c>
      <c r="AJ211" t="s">
        <v>861</v>
      </c>
      <c r="AK211" t="s">
        <v>880</v>
      </c>
      <c r="AL211" t="s">
        <v>1001</v>
      </c>
      <c r="AM211" t="s">
        <v>967</v>
      </c>
      <c r="AP211" t="s">
        <v>968</v>
      </c>
      <c r="AQ211" t="s">
        <v>1526</v>
      </c>
      <c r="AS211" t="s">
        <v>1526</v>
      </c>
      <c r="AT211" t="s">
        <v>1526</v>
      </c>
      <c r="AU211" t="s">
        <v>886</v>
      </c>
      <c r="AW211" t="s">
        <v>968</v>
      </c>
      <c r="AX211" t="s">
        <v>942</v>
      </c>
      <c r="AZ211" t="s">
        <v>1003</v>
      </c>
      <c r="BA211" t="s">
        <v>965</v>
      </c>
      <c r="BK211" t="s">
        <v>1134</v>
      </c>
      <c r="BL211">
        <v>807</v>
      </c>
      <c r="BM211">
        <v>65.25</v>
      </c>
      <c r="BN211">
        <v>9953.2999999999993</v>
      </c>
      <c r="BO211">
        <v>14432.71</v>
      </c>
      <c r="BP211">
        <v>14432.71</v>
      </c>
      <c r="BQ211">
        <v>17261.78</v>
      </c>
      <c r="BR211">
        <v>2829.09</v>
      </c>
      <c r="BS211" t="s">
        <v>892</v>
      </c>
      <c r="BT211">
        <v>2827</v>
      </c>
      <c r="BV211" t="s">
        <v>2516</v>
      </c>
      <c r="BW211" t="s">
        <v>2517</v>
      </c>
      <c r="BX211" t="s">
        <v>895</v>
      </c>
      <c r="BY211" t="s">
        <v>2568</v>
      </c>
      <c r="CD211" t="s">
        <v>2574</v>
      </c>
      <c r="CG211" t="s">
        <v>2571</v>
      </c>
      <c r="CH211" t="s">
        <v>1495</v>
      </c>
      <c r="CI211" t="s">
        <v>2575</v>
      </c>
      <c r="CJ211" t="s">
        <v>2575</v>
      </c>
      <c r="CP211" t="s">
        <v>2216</v>
      </c>
      <c r="CT211" t="s">
        <v>901</v>
      </c>
    </row>
    <row r="212" spans="1:98" x14ac:dyDescent="0.15">
      <c r="A212" t="s">
        <v>861</v>
      </c>
      <c r="B212" t="s">
        <v>862</v>
      </c>
      <c r="C212" t="s">
        <v>45</v>
      </c>
      <c r="D212" t="s">
        <v>45</v>
      </c>
      <c r="E212" t="s">
        <v>45</v>
      </c>
      <c r="F212" t="s">
        <v>863</v>
      </c>
      <c r="G212" t="s">
        <v>864</v>
      </c>
      <c r="H212" t="s">
        <v>937</v>
      </c>
      <c r="I212" t="s">
        <v>44</v>
      </c>
      <c r="J212" t="s">
        <v>2576</v>
      </c>
      <c r="K212" t="s">
        <v>1481</v>
      </c>
      <c r="L212" t="s">
        <v>868</v>
      </c>
      <c r="N212" t="s">
        <v>861</v>
      </c>
      <c r="O212">
        <v>0</v>
      </c>
      <c r="P212" t="s">
        <v>869</v>
      </c>
      <c r="Q212" t="s">
        <v>15</v>
      </c>
      <c r="R212" t="s">
        <v>870</v>
      </c>
      <c r="S212" t="s">
        <v>954</v>
      </c>
      <c r="T212" t="s">
        <v>2511</v>
      </c>
      <c r="U212" t="s">
        <v>2511</v>
      </c>
      <c r="V212" t="s">
        <v>1356</v>
      </c>
      <c r="W212" t="s">
        <v>1525</v>
      </c>
      <c r="Y212" t="s">
        <v>874</v>
      </c>
      <c r="Z212" t="s">
        <v>861</v>
      </c>
      <c r="AA212" t="s">
        <v>958</v>
      </c>
      <c r="AB212" t="s">
        <v>2577</v>
      </c>
      <c r="AF212" t="s">
        <v>2513</v>
      </c>
      <c r="AG212" t="s">
        <v>2578</v>
      </c>
      <c r="AH212" t="s">
        <v>2515</v>
      </c>
      <c r="AJ212" t="s">
        <v>861</v>
      </c>
      <c r="AK212" t="s">
        <v>880</v>
      </c>
      <c r="AL212" t="s">
        <v>1001</v>
      </c>
      <c r="AM212" t="s">
        <v>967</v>
      </c>
      <c r="AP212" t="s">
        <v>1526</v>
      </c>
      <c r="AQ212" t="s">
        <v>1526</v>
      </c>
      <c r="AS212" t="s">
        <v>1526</v>
      </c>
      <c r="AT212" t="s">
        <v>1526</v>
      </c>
      <c r="AU212" t="s">
        <v>886</v>
      </c>
      <c r="AW212" t="s">
        <v>968</v>
      </c>
      <c r="AX212" t="s">
        <v>942</v>
      </c>
      <c r="AZ212" t="s">
        <v>1003</v>
      </c>
      <c r="BA212" t="s">
        <v>965</v>
      </c>
      <c r="BK212" t="s">
        <v>1134</v>
      </c>
      <c r="BL212">
        <v>648</v>
      </c>
      <c r="BM212">
        <v>62.8</v>
      </c>
      <c r="BN212">
        <v>7204.5</v>
      </c>
      <c r="BO212">
        <v>11776.04</v>
      </c>
      <c r="BP212">
        <v>11776.04</v>
      </c>
      <c r="BQ212">
        <v>14604.81</v>
      </c>
      <c r="BR212">
        <v>2828.77</v>
      </c>
      <c r="BS212" t="s">
        <v>892</v>
      </c>
      <c r="BT212">
        <v>2827</v>
      </c>
      <c r="BV212" t="s">
        <v>2516</v>
      </c>
      <c r="BW212" t="s">
        <v>2517</v>
      </c>
      <c r="BX212" t="s">
        <v>895</v>
      </c>
      <c r="BY212" t="s">
        <v>2552</v>
      </c>
      <c r="CD212" t="s">
        <v>2579</v>
      </c>
      <c r="CG212" t="s">
        <v>2576</v>
      </c>
      <c r="CH212" t="s">
        <v>1495</v>
      </c>
      <c r="CI212" t="s">
        <v>2580</v>
      </c>
      <c r="CJ212" t="s">
        <v>2580</v>
      </c>
      <c r="CP212" t="s">
        <v>2216</v>
      </c>
      <c r="CT212" t="s">
        <v>901</v>
      </c>
    </row>
    <row r="213" spans="1:98" x14ac:dyDescent="0.15">
      <c r="A213" t="s">
        <v>861</v>
      </c>
      <c r="B213" t="s">
        <v>862</v>
      </c>
      <c r="C213" t="s">
        <v>26</v>
      </c>
      <c r="D213" t="s">
        <v>26</v>
      </c>
      <c r="E213" t="s">
        <v>26</v>
      </c>
      <c r="F213" t="s">
        <v>863</v>
      </c>
      <c r="G213" t="s">
        <v>864</v>
      </c>
      <c r="H213" t="s">
        <v>937</v>
      </c>
      <c r="I213" t="s">
        <v>25</v>
      </c>
      <c r="J213" t="s">
        <v>2581</v>
      </c>
      <c r="K213" t="s">
        <v>1481</v>
      </c>
      <c r="L213" t="s">
        <v>868</v>
      </c>
      <c r="N213" t="s">
        <v>861</v>
      </c>
      <c r="O213">
        <v>0</v>
      </c>
      <c r="P213" t="s">
        <v>869</v>
      </c>
      <c r="Q213" t="s">
        <v>15</v>
      </c>
      <c r="R213" t="s">
        <v>870</v>
      </c>
      <c r="S213" t="s">
        <v>954</v>
      </c>
      <c r="T213" t="s">
        <v>2511</v>
      </c>
      <c r="U213" t="s">
        <v>2511</v>
      </c>
      <c r="V213" t="s">
        <v>1356</v>
      </c>
      <c r="W213" t="s">
        <v>1525</v>
      </c>
      <c r="Y213" t="s">
        <v>874</v>
      </c>
      <c r="Z213" t="s">
        <v>861</v>
      </c>
      <c r="AA213" t="s">
        <v>875</v>
      </c>
      <c r="AF213" t="s">
        <v>2513</v>
      </c>
      <c r="AG213" t="s">
        <v>2582</v>
      </c>
      <c r="AH213" t="s">
        <v>2515</v>
      </c>
      <c r="AJ213" t="s">
        <v>861</v>
      </c>
      <c r="AK213" t="s">
        <v>880</v>
      </c>
      <c r="AL213" t="s">
        <v>1001</v>
      </c>
      <c r="AM213" t="s">
        <v>967</v>
      </c>
      <c r="AP213" t="s">
        <v>968</v>
      </c>
      <c r="AQ213" t="s">
        <v>1526</v>
      </c>
      <c r="AS213" t="s">
        <v>1526</v>
      </c>
      <c r="AT213" t="s">
        <v>1526</v>
      </c>
      <c r="AU213" t="s">
        <v>886</v>
      </c>
      <c r="AW213" t="s">
        <v>968</v>
      </c>
      <c r="AX213" t="s">
        <v>942</v>
      </c>
      <c r="AZ213" t="s">
        <v>1003</v>
      </c>
      <c r="BA213" t="s">
        <v>965</v>
      </c>
      <c r="BK213" t="s">
        <v>1134</v>
      </c>
      <c r="BL213">
        <v>1059</v>
      </c>
      <c r="BM213">
        <v>66.92</v>
      </c>
      <c r="BN213">
        <v>16492</v>
      </c>
      <c r="BO213">
        <v>38566.06</v>
      </c>
      <c r="BP213">
        <v>38566.06</v>
      </c>
      <c r="BQ213">
        <v>41398.089999999997</v>
      </c>
      <c r="BR213">
        <v>2832.01</v>
      </c>
      <c r="BS213" t="s">
        <v>892</v>
      </c>
      <c r="BT213">
        <v>2827</v>
      </c>
      <c r="BV213" t="s">
        <v>2516</v>
      </c>
      <c r="BW213" t="s">
        <v>2517</v>
      </c>
      <c r="BX213" t="s">
        <v>895</v>
      </c>
      <c r="BY213" t="s">
        <v>2568</v>
      </c>
      <c r="CD213" t="s">
        <v>2569</v>
      </c>
      <c r="CG213" t="s">
        <v>2581</v>
      </c>
      <c r="CH213" t="s">
        <v>1495</v>
      </c>
      <c r="CI213" t="s">
        <v>2583</v>
      </c>
      <c r="CJ213" t="s">
        <v>2583</v>
      </c>
      <c r="CP213" t="s">
        <v>2216</v>
      </c>
      <c r="CT213" t="s">
        <v>901</v>
      </c>
    </row>
    <row r="214" spans="1:98" x14ac:dyDescent="0.15">
      <c r="A214" t="s">
        <v>861</v>
      </c>
      <c r="B214" t="s">
        <v>862</v>
      </c>
      <c r="C214" t="s">
        <v>61</v>
      </c>
      <c r="D214" t="s">
        <v>61</v>
      </c>
      <c r="E214" t="s">
        <v>61</v>
      </c>
      <c r="F214" t="s">
        <v>863</v>
      </c>
      <c r="G214" t="s">
        <v>864</v>
      </c>
      <c r="H214" t="s">
        <v>937</v>
      </c>
      <c r="I214" t="s">
        <v>60</v>
      </c>
      <c r="J214" t="s">
        <v>2584</v>
      </c>
      <c r="K214" t="s">
        <v>1481</v>
      </c>
      <c r="L214" t="s">
        <v>868</v>
      </c>
      <c r="N214" t="s">
        <v>861</v>
      </c>
      <c r="O214">
        <v>0</v>
      </c>
      <c r="P214" t="s">
        <v>869</v>
      </c>
      <c r="Q214" t="s">
        <v>15</v>
      </c>
      <c r="R214" t="s">
        <v>870</v>
      </c>
      <c r="S214" t="s">
        <v>954</v>
      </c>
      <c r="T214" t="s">
        <v>2511</v>
      </c>
      <c r="U214" t="s">
        <v>2511</v>
      </c>
      <c r="V214" t="s">
        <v>1356</v>
      </c>
      <c r="W214" t="s">
        <v>1525</v>
      </c>
      <c r="Y214" t="s">
        <v>874</v>
      </c>
      <c r="Z214" t="s">
        <v>861</v>
      </c>
      <c r="AA214" t="s">
        <v>958</v>
      </c>
      <c r="AB214" t="s">
        <v>2585</v>
      </c>
      <c r="AF214" t="s">
        <v>2513</v>
      </c>
      <c r="AG214" t="s">
        <v>2586</v>
      </c>
      <c r="AH214" t="s">
        <v>2515</v>
      </c>
      <c r="AJ214" t="s">
        <v>861</v>
      </c>
      <c r="AK214" t="s">
        <v>880</v>
      </c>
      <c r="AL214" t="s">
        <v>1001</v>
      </c>
      <c r="AM214" t="s">
        <v>967</v>
      </c>
      <c r="AP214" t="s">
        <v>968</v>
      </c>
      <c r="AQ214" t="s">
        <v>1526</v>
      </c>
      <c r="AS214" t="s">
        <v>1526</v>
      </c>
      <c r="AT214" t="s">
        <v>1526</v>
      </c>
      <c r="AU214" t="s">
        <v>886</v>
      </c>
      <c r="AW214" t="s">
        <v>968</v>
      </c>
      <c r="AX214" t="s">
        <v>942</v>
      </c>
      <c r="AZ214" t="s">
        <v>1003</v>
      </c>
      <c r="BA214" t="s">
        <v>965</v>
      </c>
      <c r="BK214" t="s">
        <v>1134</v>
      </c>
      <c r="BL214">
        <v>1105</v>
      </c>
      <c r="BM214">
        <v>63.97</v>
      </c>
      <c r="BN214">
        <v>7614.3</v>
      </c>
      <c r="BO214">
        <v>19962.009999999998</v>
      </c>
      <c r="BP214">
        <v>19962.009999999998</v>
      </c>
      <c r="BQ214">
        <v>22791.77</v>
      </c>
      <c r="BR214">
        <v>2829.76</v>
      </c>
      <c r="BS214" t="s">
        <v>892</v>
      </c>
      <c r="BT214">
        <v>2827</v>
      </c>
      <c r="BV214" t="s">
        <v>2516</v>
      </c>
      <c r="BW214" t="s">
        <v>2517</v>
      </c>
      <c r="BX214" t="s">
        <v>895</v>
      </c>
      <c r="BY214" t="s">
        <v>2587</v>
      </c>
      <c r="CD214" t="s">
        <v>2574</v>
      </c>
      <c r="CG214" t="s">
        <v>2584</v>
      </c>
      <c r="CH214" t="s">
        <v>1495</v>
      </c>
      <c r="CI214" t="s">
        <v>2588</v>
      </c>
      <c r="CJ214" t="s">
        <v>2588</v>
      </c>
      <c r="CP214" t="s">
        <v>2216</v>
      </c>
      <c r="CT214" t="s">
        <v>901</v>
      </c>
    </row>
    <row r="215" spans="1:98" x14ac:dyDescent="0.15">
      <c r="A215" t="s">
        <v>861</v>
      </c>
      <c r="B215" t="s">
        <v>862</v>
      </c>
      <c r="C215" t="s">
        <v>53</v>
      </c>
      <c r="D215" t="s">
        <v>53</v>
      </c>
      <c r="E215" t="s">
        <v>53</v>
      </c>
      <c r="F215" t="s">
        <v>863</v>
      </c>
      <c r="G215" t="s">
        <v>864</v>
      </c>
      <c r="H215" t="s">
        <v>937</v>
      </c>
      <c r="I215" t="s">
        <v>52</v>
      </c>
      <c r="J215" t="s">
        <v>2589</v>
      </c>
      <c r="K215" t="s">
        <v>1481</v>
      </c>
      <c r="L215" t="s">
        <v>868</v>
      </c>
      <c r="N215" t="s">
        <v>1259</v>
      </c>
      <c r="O215">
        <v>0</v>
      </c>
      <c r="P215" t="s">
        <v>869</v>
      </c>
      <c r="Q215" t="s">
        <v>15</v>
      </c>
      <c r="R215" t="s">
        <v>870</v>
      </c>
      <c r="S215" t="s">
        <v>954</v>
      </c>
      <c r="T215" t="s">
        <v>2511</v>
      </c>
      <c r="U215" t="s">
        <v>2511</v>
      </c>
      <c r="V215" t="s">
        <v>1356</v>
      </c>
      <c r="W215" t="s">
        <v>1525</v>
      </c>
      <c r="Y215" t="s">
        <v>874</v>
      </c>
      <c r="Z215" t="s">
        <v>861</v>
      </c>
      <c r="AA215" t="s">
        <v>958</v>
      </c>
      <c r="AB215" t="s">
        <v>2590</v>
      </c>
      <c r="AF215" t="s">
        <v>2513</v>
      </c>
      <c r="AG215" t="s">
        <v>2591</v>
      </c>
      <c r="AH215" t="s">
        <v>2515</v>
      </c>
      <c r="AJ215" t="s">
        <v>861</v>
      </c>
      <c r="AK215" t="s">
        <v>880</v>
      </c>
      <c r="AL215" t="s">
        <v>966</v>
      </c>
      <c r="AM215" t="s">
        <v>967</v>
      </c>
      <c r="AP215" t="s">
        <v>968</v>
      </c>
      <c r="AQ215" t="s">
        <v>1526</v>
      </c>
      <c r="AS215" t="s">
        <v>1526</v>
      </c>
      <c r="AT215" t="s">
        <v>1526</v>
      </c>
      <c r="AU215" t="s">
        <v>886</v>
      </c>
      <c r="AW215" t="s">
        <v>968</v>
      </c>
      <c r="AX215" t="s">
        <v>942</v>
      </c>
      <c r="AZ215" t="s">
        <v>1003</v>
      </c>
      <c r="BA215" t="s">
        <v>965</v>
      </c>
      <c r="BK215" t="s">
        <v>1134</v>
      </c>
      <c r="BL215">
        <v>1120</v>
      </c>
      <c r="BM215">
        <v>64.53</v>
      </c>
      <c r="BN215">
        <v>9161.36</v>
      </c>
      <c r="BO215">
        <v>18130.830000000002</v>
      </c>
      <c r="BP215">
        <v>18130.830000000002</v>
      </c>
      <c r="BQ215">
        <v>20960.37</v>
      </c>
      <c r="BR215">
        <v>2829.54</v>
      </c>
      <c r="BS215" t="s">
        <v>892</v>
      </c>
      <c r="BT215">
        <v>2827</v>
      </c>
      <c r="BV215" t="s">
        <v>2516</v>
      </c>
      <c r="BW215" t="s">
        <v>2517</v>
      </c>
      <c r="BX215" t="s">
        <v>895</v>
      </c>
      <c r="BY215" t="s">
        <v>2587</v>
      </c>
      <c r="CD215" t="s">
        <v>2592</v>
      </c>
      <c r="CG215" t="s">
        <v>2589</v>
      </c>
      <c r="CH215" t="s">
        <v>1495</v>
      </c>
      <c r="CI215" t="s">
        <v>2593</v>
      </c>
      <c r="CJ215" t="s">
        <v>2593</v>
      </c>
      <c r="CP215" t="s">
        <v>2216</v>
      </c>
      <c r="CT215" t="s">
        <v>901</v>
      </c>
    </row>
    <row r="216" spans="1:98" x14ac:dyDescent="0.15">
      <c r="A216" t="s">
        <v>861</v>
      </c>
      <c r="B216" t="s">
        <v>862</v>
      </c>
      <c r="C216" t="s">
        <v>43</v>
      </c>
      <c r="D216" t="s">
        <v>43</v>
      </c>
      <c r="E216" t="s">
        <v>43</v>
      </c>
      <c r="F216" t="s">
        <v>863</v>
      </c>
      <c r="G216" t="s">
        <v>864</v>
      </c>
      <c r="H216" t="s">
        <v>937</v>
      </c>
      <c r="I216" t="s">
        <v>42</v>
      </c>
      <c r="J216" t="s">
        <v>2594</v>
      </c>
      <c r="K216" t="s">
        <v>1481</v>
      </c>
      <c r="L216" t="s">
        <v>868</v>
      </c>
      <c r="N216" t="s">
        <v>861</v>
      </c>
      <c r="O216">
        <v>0</v>
      </c>
      <c r="P216" t="s">
        <v>869</v>
      </c>
      <c r="Q216" t="s">
        <v>15</v>
      </c>
      <c r="R216" t="s">
        <v>870</v>
      </c>
      <c r="S216" t="s">
        <v>954</v>
      </c>
      <c r="T216" t="s">
        <v>2511</v>
      </c>
      <c r="U216" t="s">
        <v>2511</v>
      </c>
      <c r="V216" t="s">
        <v>1356</v>
      </c>
      <c r="W216" t="s">
        <v>1525</v>
      </c>
      <c r="Y216" t="s">
        <v>874</v>
      </c>
      <c r="Z216" t="s">
        <v>861</v>
      </c>
      <c r="AA216" t="s">
        <v>958</v>
      </c>
      <c r="AB216" t="s">
        <v>2595</v>
      </c>
      <c r="AF216" t="s">
        <v>2513</v>
      </c>
      <c r="AG216" t="s">
        <v>2596</v>
      </c>
      <c r="AH216" t="s">
        <v>2515</v>
      </c>
      <c r="AJ216" t="s">
        <v>861</v>
      </c>
      <c r="AK216" t="s">
        <v>880</v>
      </c>
      <c r="AL216" t="s">
        <v>966</v>
      </c>
      <c r="AM216" t="s">
        <v>967</v>
      </c>
      <c r="AP216" t="s">
        <v>1526</v>
      </c>
      <c r="AQ216" t="s">
        <v>1526</v>
      </c>
      <c r="AS216" t="s">
        <v>1526</v>
      </c>
      <c r="AT216" t="s">
        <v>1526</v>
      </c>
      <c r="AU216" t="s">
        <v>886</v>
      </c>
      <c r="AW216" t="s">
        <v>968</v>
      </c>
      <c r="AX216" t="s">
        <v>942</v>
      </c>
      <c r="AZ216" t="s">
        <v>1003</v>
      </c>
      <c r="BA216" t="s">
        <v>965</v>
      </c>
      <c r="BK216" t="s">
        <v>1134</v>
      </c>
      <c r="BL216">
        <v>596</v>
      </c>
      <c r="BM216">
        <v>68.55</v>
      </c>
      <c r="BN216">
        <v>13115.6</v>
      </c>
      <c r="BO216">
        <v>26225.16</v>
      </c>
      <c r="BP216">
        <v>26225.16</v>
      </c>
      <c r="BQ216">
        <v>29055.67</v>
      </c>
      <c r="BR216">
        <v>2830.52</v>
      </c>
      <c r="BS216" t="s">
        <v>892</v>
      </c>
      <c r="BT216">
        <v>2827</v>
      </c>
      <c r="BV216" t="s">
        <v>2516</v>
      </c>
      <c r="BW216" t="s">
        <v>2517</v>
      </c>
      <c r="BX216" t="s">
        <v>895</v>
      </c>
      <c r="BY216" t="s">
        <v>2597</v>
      </c>
      <c r="CD216" t="s">
        <v>2598</v>
      </c>
      <c r="CG216" t="s">
        <v>2594</v>
      </c>
      <c r="CH216" t="s">
        <v>1495</v>
      </c>
      <c r="CI216" t="s">
        <v>2599</v>
      </c>
      <c r="CJ216" t="s">
        <v>2599</v>
      </c>
      <c r="CP216" t="s">
        <v>2216</v>
      </c>
      <c r="CT216" t="s">
        <v>901</v>
      </c>
    </row>
    <row r="217" spans="1:98" x14ac:dyDescent="0.15">
      <c r="A217" t="s">
        <v>861</v>
      </c>
      <c r="B217" t="s">
        <v>862</v>
      </c>
      <c r="C217" t="s">
        <v>112</v>
      </c>
      <c r="D217" t="s">
        <v>112</v>
      </c>
      <c r="E217" t="s">
        <v>112</v>
      </c>
      <c r="F217" t="s">
        <v>863</v>
      </c>
      <c r="G217" t="s">
        <v>864</v>
      </c>
      <c r="H217" t="s">
        <v>937</v>
      </c>
      <c r="I217" t="s">
        <v>111</v>
      </c>
      <c r="J217" t="s">
        <v>2600</v>
      </c>
      <c r="K217" t="s">
        <v>1481</v>
      </c>
      <c r="L217" t="s">
        <v>868</v>
      </c>
      <c r="N217" t="s">
        <v>861</v>
      </c>
      <c r="O217">
        <v>0</v>
      </c>
      <c r="P217" t="s">
        <v>869</v>
      </c>
      <c r="Q217" t="s">
        <v>15</v>
      </c>
      <c r="R217" t="s">
        <v>870</v>
      </c>
      <c r="S217" t="s">
        <v>954</v>
      </c>
      <c r="T217" t="s">
        <v>2511</v>
      </c>
      <c r="U217" t="s">
        <v>2511</v>
      </c>
      <c r="V217" t="s">
        <v>1356</v>
      </c>
      <c r="W217" t="s">
        <v>1525</v>
      </c>
      <c r="Y217" t="s">
        <v>874</v>
      </c>
      <c r="Z217" t="s">
        <v>861</v>
      </c>
      <c r="AA217" t="s">
        <v>958</v>
      </c>
      <c r="AB217" t="s">
        <v>2601</v>
      </c>
      <c r="AF217" t="s">
        <v>2513</v>
      </c>
      <c r="AG217" t="s">
        <v>2602</v>
      </c>
      <c r="AH217" t="s">
        <v>2515</v>
      </c>
      <c r="AJ217" t="s">
        <v>861</v>
      </c>
      <c r="AK217" t="s">
        <v>880</v>
      </c>
      <c r="AL217" t="s">
        <v>966</v>
      </c>
      <c r="AM217" t="s">
        <v>967</v>
      </c>
      <c r="AP217" t="s">
        <v>968</v>
      </c>
      <c r="AQ217" t="s">
        <v>1526</v>
      </c>
      <c r="AS217" t="s">
        <v>1526</v>
      </c>
      <c r="AT217" t="s">
        <v>1526</v>
      </c>
      <c r="AU217" t="s">
        <v>886</v>
      </c>
      <c r="AW217" t="s">
        <v>968</v>
      </c>
      <c r="AX217" t="s">
        <v>965</v>
      </c>
      <c r="AZ217" t="s">
        <v>1003</v>
      </c>
      <c r="BA217" t="s">
        <v>969</v>
      </c>
      <c r="BK217" t="s">
        <v>1134</v>
      </c>
      <c r="BL217">
        <v>745</v>
      </c>
      <c r="BM217">
        <v>63.79</v>
      </c>
      <c r="BN217">
        <v>9275.5</v>
      </c>
      <c r="BO217">
        <v>16338.6</v>
      </c>
      <c r="BP217">
        <v>16338.6</v>
      </c>
      <c r="BQ217">
        <v>19167.93</v>
      </c>
      <c r="BR217">
        <v>2829.32</v>
      </c>
      <c r="BS217" t="s">
        <v>892</v>
      </c>
      <c r="BT217">
        <v>2827</v>
      </c>
      <c r="BV217" t="s">
        <v>2516</v>
      </c>
      <c r="BW217" t="s">
        <v>2517</v>
      </c>
      <c r="BX217" t="s">
        <v>895</v>
      </c>
      <c r="BY217" t="s">
        <v>2597</v>
      </c>
      <c r="CD217" t="s">
        <v>2603</v>
      </c>
      <c r="CG217" t="s">
        <v>2600</v>
      </c>
      <c r="CH217" t="s">
        <v>1495</v>
      </c>
      <c r="CI217" t="s">
        <v>2604</v>
      </c>
      <c r="CJ217" t="s">
        <v>2604</v>
      </c>
      <c r="CP217" t="s">
        <v>2216</v>
      </c>
      <c r="CT217" t="s">
        <v>901</v>
      </c>
    </row>
    <row r="218" spans="1:98" x14ac:dyDescent="0.15">
      <c r="A218" t="s">
        <v>861</v>
      </c>
      <c r="B218" t="s">
        <v>862</v>
      </c>
      <c r="C218" t="s">
        <v>47</v>
      </c>
      <c r="D218" t="s">
        <v>47</v>
      </c>
      <c r="E218" t="s">
        <v>47</v>
      </c>
      <c r="F218" t="s">
        <v>863</v>
      </c>
      <c r="G218" t="s">
        <v>864</v>
      </c>
      <c r="H218" t="s">
        <v>937</v>
      </c>
      <c r="I218" t="s">
        <v>46</v>
      </c>
      <c r="J218" t="s">
        <v>2605</v>
      </c>
      <c r="K218" t="s">
        <v>1481</v>
      </c>
      <c r="L218" t="s">
        <v>868</v>
      </c>
      <c r="N218" t="s">
        <v>861</v>
      </c>
      <c r="O218">
        <v>0</v>
      </c>
      <c r="P218" t="s">
        <v>869</v>
      </c>
      <c r="Q218" t="s">
        <v>15</v>
      </c>
      <c r="R218" t="s">
        <v>870</v>
      </c>
      <c r="S218" t="s">
        <v>954</v>
      </c>
      <c r="T218" t="s">
        <v>2511</v>
      </c>
      <c r="U218" t="s">
        <v>2511</v>
      </c>
      <c r="V218" t="s">
        <v>1356</v>
      </c>
      <c r="W218" t="s">
        <v>1525</v>
      </c>
      <c r="Y218" t="s">
        <v>874</v>
      </c>
      <c r="Z218" t="s">
        <v>861</v>
      </c>
      <c r="AA218" t="s">
        <v>958</v>
      </c>
      <c r="AB218" t="s">
        <v>2606</v>
      </c>
      <c r="AF218" t="s">
        <v>2513</v>
      </c>
      <c r="AG218" t="s">
        <v>2607</v>
      </c>
      <c r="AH218" t="s">
        <v>2515</v>
      </c>
      <c r="AJ218" t="s">
        <v>861</v>
      </c>
      <c r="AK218" t="s">
        <v>880</v>
      </c>
      <c r="AL218" t="s">
        <v>966</v>
      </c>
      <c r="AM218" t="s">
        <v>967</v>
      </c>
      <c r="AP218" t="s">
        <v>1526</v>
      </c>
      <c r="AQ218" t="s">
        <v>1526</v>
      </c>
      <c r="AS218" t="s">
        <v>1526</v>
      </c>
      <c r="AT218" t="s">
        <v>1526</v>
      </c>
      <c r="AU218" t="s">
        <v>886</v>
      </c>
      <c r="AW218" t="s">
        <v>968</v>
      </c>
      <c r="AX218" t="s">
        <v>965</v>
      </c>
      <c r="AZ218" t="s">
        <v>1003</v>
      </c>
      <c r="BA218" t="s">
        <v>969</v>
      </c>
      <c r="BK218" t="s">
        <v>1134</v>
      </c>
      <c r="BL218">
        <v>419</v>
      </c>
      <c r="BM218">
        <v>65.040000000000006</v>
      </c>
      <c r="BN218">
        <v>5445.3</v>
      </c>
      <c r="BO218">
        <v>13204.2</v>
      </c>
      <c r="BP218">
        <v>13204.2</v>
      </c>
      <c r="BQ218">
        <v>16033.14</v>
      </c>
      <c r="BR218">
        <v>2828.94</v>
      </c>
      <c r="BS218" t="s">
        <v>892</v>
      </c>
      <c r="BT218">
        <v>2827</v>
      </c>
      <c r="BV218" t="s">
        <v>2516</v>
      </c>
      <c r="BW218" t="s">
        <v>2517</v>
      </c>
      <c r="BX218" t="s">
        <v>895</v>
      </c>
      <c r="BY218" t="s">
        <v>2608</v>
      </c>
      <c r="CD218" t="s">
        <v>2609</v>
      </c>
      <c r="CG218" t="s">
        <v>2605</v>
      </c>
      <c r="CH218" t="s">
        <v>1495</v>
      </c>
      <c r="CI218" t="s">
        <v>2610</v>
      </c>
      <c r="CJ218" t="s">
        <v>2610</v>
      </c>
      <c r="CP218" t="s">
        <v>2216</v>
      </c>
      <c r="CT218" t="s">
        <v>901</v>
      </c>
    </row>
    <row r="219" spans="1:98" x14ac:dyDescent="0.15">
      <c r="A219" t="s">
        <v>861</v>
      </c>
      <c r="B219" t="s">
        <v>862</v>
      </c>
      <c r="C219" t="s">
        <v>24</v>
      </c>
      <c r="D219" t="s">
        <v>24</v>
      </c>
      <c r="E219" t="s">
        <v>24</v>
      </c>
      <c r="F219" t="s">
        <v>863</v>
      </c>
      <c r="G219" t="s">
        <v>864</v>
      </c>
      <c r="H219" t="s">
        <v>937</v>
      </c>
      <c r="I219" t="s">
        <v>22</v>
      </c>
      <c r="J219" t="s">
        <v>2611</v>
      </c>
      <c r="K219" t="s">
        <v>1481</v>
      </c>
      <c r="L219" t="s">
        <v>868</v>
      </c>
      <c r="N219" t="s">
        <v>861</v>
      </c>
      <c r="O219">
        <v>0</v>
      </c>
      <c r="P219" t="s">
        <v>869</v>
      </c>
      <c r="Q219" t="s">
        <v>15</v>
      </c>
      <c r="R219" t="s">
        <v>870</v>
      </c>
      <c r="S219" t="s">
        <v>954</v>
      </c>
      <c r="T219" t="s">
        <v>2511</v>
      </c>
      <c r="U219" t="s">
        <v>2511</v>
      </c>
      <c r="V219" t="s">
        <v>1356</v>
      </c>
      <c r="W219" t="s">
        <v>1525</v>
      </c>
      <c r="Y219" t="s">
        <v>910</v>
      </c>
      <c r="Z219" t="s">
        <v>861</v>
      </c>
      <c r="AA219" t="s">
        <v>958</v>
      </c>
      <c r="AB219" t="s">
        <v>2612</v>
      </c>
      <c r="AF219" t="s">
        <v>2513</v>
      </c>
      <c r="AG219" t="s">
        <v>2613</v>
      </c>
      <c r="AH219" t="s">
        <v>2515</v>
      </c>
      <c r="AJ219" t="s">
        <v>861</v>
      </c>
      <c r="AK219" t="s">
        <v>880</v>
      </c>
      <c r="AL219" t="s">
        <v>966</v>
      </c>
      <c r="AM219" t="s">
        <v>967</v>
      </c>
      <c r="AP219" t="s">
        <v>1526</v>
      </c>
      <c r="AQ219" t="s">
        <v>1526</v>
      </c>
      <c r="AS219" t="s">
        <v>1526</v>
      </c>
      <c r="AT219" t="s">
        <v>1526</v>
      </c>
      <c r="AU219" t="s">
        <v>886</v>
      </c>
      <c r="AW219" t="s">
        <v>968</v>
      </c>
      <c r="AX219" t="s">
        <v>965</v>
      </c>
      <c r="AZ219" t="s">
        <v>1003</v>
      </c>
      <c r="BA219" t="s">
        <v>969</v>
      </c>
      <c r="BK219" t="s">
        <v>1134</v>
      </c>
      <c r="BL219">
        <v>454</v>
      </c>
      <c r="BM219">
        <v>64.7</v>
      </c>
      <c r="BN219">
        <v>5093.8</v>
      </c>
      <c r="BO219">
        <v>14829.48</v>
      </c>
      <c r="BP219">
        <v>14829.48</v>
      </c>
      <c r="BQ219">
        <v>17658.64</v>
      </c>
      <c r="BR219">
        <v>2829.14</v>
      </c>
      <c r="BS219" t="s">
        <v>892</v>
      </c>
      <c r="BT219">
        <v>2827</v>
      </c>
      <c r="BV219" t="s">
        <v>2516</v>
      </c>
      <c r="BW219" t="s">
        <v>2517</v>
      </c>
      <c r="BX219" t="s">
        <v>895</v>
      </c>
      <c r="BY219" t="s">
        <v>2614</v>
      </c>
      <c r="CD219" t="s">
        <v>2615</v>
      </c>
      <c r="CG219" t="s">
        <v>2611</v>
      </c>
      <c r="CH219" t="s">
        <v>1495</v>
      </c>
      <c r="CI219" t="s">
        <v>2616</v>
      </c>
      <c r="CJ219" t="s">
        <v>2616</v>
      </c>
      <c r="CP219" t="s">
        <v>2216</v>
      </c>
      <c r="CT219" t="s">
        <v>901</v>
      </c>
    </row>
    <row r="220" spans="1:98" x14ac:dyDescent="0.15">
      <c r="A220" t="s">
        <v>861</v>
      </c>
      <c r="B220" t="s">
        <v>862</v>
      </c>
      <c r="C220" t="s">
        <v>108</v>
      </c>
      <c r="D220" t="s">
        <v>108</v>
      </c>
      <c r="E220" t="s">
        <v>108</v>
      </c>
      <c r="F220" t="s">
        <v>863</v>
      </c>
      <c r="G220" t="s">
        <v>864</v>
      </c>
      <c r="H220" t="s">
        <v>937</v>
      </c>
      <c r="I220" t="s">
        <v>107</v>
      </c>
      <c r="J220" t="s">
        <v>2617</v>
      </c>
      <c r="K220" t="s">
        <v>1481</v>
      </c>
      <c r="L220" t="s">
        <v>868</v>
      </c>
      <c r="N220" t="s">
        <v>1259</v>
      </c>
      <c r="O220">
        <v>0</v>
      </c>
      <c r="P220" t="s">
        <v>869</v>
      </c>
      <c r="Q220" t="s">
        <v>15</v>
      </c>
      <c r="R220" t="s">
        <v>870</v>
      </c>
      <c r="S220" t="s">
        <v>954</v>
      </c>
      <c r="T220" t="s">
        <v>2511</v>
      </c>
      <c r="U220" t="s">
        <v>2511</v>
      </c>
      <c r="V220" t="s">
        <v>1356</v>
      </c>
      <c r="W220" t="s">
        <v>1525</v>
      </c>
      <c r="Y220" t="s">
        <v>874</v>
      </c>
      <c r="Z220" t="s">
        <v>861</v>
      </c>
      <c r="AA220" t="s">
        <v>958</v>
      </c>
      <c r="AB220" t="s">
        <v>2618</v>
      </c>
      <c r="AF220" t="s">
        <v>2513</v>
      </c>
      <c r="AG220" t="s">
        <v>2619</v>
      </c>
      <c r="AH220" t="s">
        <v>2515</v>
      </c>
      <c r="AJ220" t="s">
        <v>861</v>
      </c>
      <c r="AK220" t="s">
        <v>880</v>
      </c>
      <c r="AL220" t="s">
        <v>966</v>
      </c>
      <c r="AM220" t="s">
        <v>967</v>
      </c>
      <c r="AP220" t="s">
        <v>968</v>
      </c>
      <c r="AQ220" t="s">
        <v>1526</v>
      </c>
      <c r="AS220" t="s">
        <v>1526</v>
      </c>
      <c r="AT220" t="s">
        <v>1526</v>
      </c>
      <c r="AU220" t="s">
        <v>886</v>
      </c>
      <c r="AW220" t="s">
        <v>968</v>
      </c>
      <c r="AX220" t="s">
        <v>965</v>
      </c>
      <c r="AZ220" t="s">
        <v>1003</v>
      </c>
      <c r="BA220" t="s">
        <v>969</v>
      </c>
      <c r="BK220" t="s">
        <v>1134</v>
      </c>
      <c r="BL220">
        <v>2117</v>
      </c>
      <c r="BM220">
        <v>65.97</v>
      </c>
      <c r="BN220">
        <v>10226.799999999999</v>
      </c>
      <c r="BO220">
        <v>37612.94</v>
      </c>
      <c r="BP220">
        <v>37612.94</v>
      </c>
      <c r="BQ220">
        <v>40444.83</v>
      </c>
      <c r="BR220">
        <v>2831.89</v>
      </c>
      <c r="BS220" t="s">
        <v>892</v>
      </c>
      <c r="BT220">
        <v>2827</v>
      </c>
      <c r="BV220" t="s">
        <v>2516</v>
      </c>
      <c r="BW220" t="s">
        <v>2517</v>
      </c>
      <c r="BX220" t="s">
        <v>895</v>
      </c>
      <c r="BY220" t="s">
        <v>2597</v>
      </c>
      <c r="CD220" t="s">
        <v>2598</v>
      </c>
      <c r="CG220" t="s">
        <v>2617</v>
      </c>
      <c r="CH220" t="s">
        <v>1495</v>
      </c>
      <c r="CI220" t="s">
        <v>2620</v>
      </c>
      <c r="CJ220" t="s">
        <v>2620</v>
      </c>
      <c r="CP220" t="s">
        <v>2216</v>
      </c>
      <c r="CT220" t="s">
        <v>901</v>
      </c>
    </row>
    <row r="221" spans="1:98" x14ac:dyDescent="0.15">
      <c r="A221" t="s">
        <v>861</v>
      </c>
      <c r="B221" t="s">
        <v>862</v>
      </c>
      <c r="C221" t="s">
        <v>696</v>
      </c>
      <c r="D221" t="s">
        <v>696</v>
      </c>
      <c r="E221" t="s">
        <v>696</v>
      </c>
      <c r="F221" t="s">
        <v>863</v>
      </c>
      <c r="G221" t="s">
        <v>864</v>
      </c>
      <c r="H221" t="s">
        <v>863</v>
      </c>
      <c r="I221" t="s">
        <v>695</v>
      </c>
      <c r="J221" t="s">
        <v>2621</v>
      </c>
      <c r="K221" t="s">
        <v>1481</v>
      </c>
      <c r="L221" t="s">
        <v>868</v>
      </c>
      <c r="N221" t="s">
        <v>861</v>
      </c>
      <c r="O221">
        <v>0</v>
      </c>
      <c r="P221" t="s">
        <v>869</v>
      </c>
      <c r="Q221" t="s">
        <v>15</v>
      </c>
      <c r="R221" t="s">
        <v>870</v>
      </c>
      <c r="S221" t="s">
        <v>954</v>
      </c>
      <c r="T221" t="s">
        <v>2622</v>
      </c>
      <c r="U221" t="s">
        <v>2622</v>
      </c>
      <c r="V221" t="s">
        <v>936</v>
      </c>
      <c r="W221" t="s">
        <v>889</v>
      </c>
      <c r="Y221" t="s">
        <v>874</v>
      </c>
      <c r="Z221" t="s">
        <v>861</v>
      </c>
      <c r="AA221" t="s">
        <v>922</v>
      </c>
      <c r="AJ221" t="s">
        <v>861</v>
      </c>
      <c r="AK221" t="s">
        <v>880</v>
      </c>
      <c r="AP221" t="s">
        <v>987</v>
      </c>
      <c r="AZ221" t="s">
        <v>1382</v>
      </c>
      <c r="BK221" t="s">
        <v>1134</v>
      </c>
      <c r="BL221">
        <v>809</v>
      </c>
      <c r="BM221">
        <v>65.14</v>
      </c>
      <c r="BN221">
        <v>4312.2</v>
      </c>
      <c r="BO221">
        <v>12815.21</v>
      </c>
      <c r="BP221">
        <v>12815.21</v>
      </c>
      <c r="BQ221">
        <v>15625.09</v>
      </c>
      <c r="BR221">
        <v>2809.89</v>
      </c>
      <c r="BS221" t="s">
        <v>892</v>
      </c>
      <c r="BT221">
        <v>2808</v>
      </c>
      <c r="BV221" t="s">
        <v>2623</v>
      </c>
      <c r="BW221" t="s">
        <v>2624</v>
      </c>
      <c r="BX221" t="s">
        <v>895</v>
      </c>
      <c r="BY221" t="s">
        <v>2625</v>
      </c>
      <c r="CD221" t="s">
        <v>2626</v>
      </c>
      <c r="CG221" t="s">
        <v>2621</v>
      </c>
      <c r="CH221" t="s">
        <v>1495</v>
      </c>
      <c r="CI221" t="s">
        <v>2627</v>
      </c>
      <c r="CJ221" t="s">
        <v>2627</v>
      </c>
      <c r="CP221" t="s">
        <v>1128</v>
      </c>
      <c r="CT221" t="s">
        <v>901</v>
      </c>
    </row>
    <row r="222" spans="1:98" x14ac:dyDescent="0.15">
      <c r="A222" t="s">
        <v>861</v>
      </c>
      <c r="B222" t="s">
        <v>862</v>
      </c>
      <c r="C222" t="s">
        <v>708</v>
      </c>
      <c r="D222" t="s">
        <v>708</v>
      </c>
      <c r="E222" t="s">
        <v>708</v>
      </c>
      <c r="F222" t="s">
        <v>863</v>
      </c>
      <c r="G222" t="s">
        <v>864</v>
      </c>
      <c r="H222" t="s">
        <v>863</v>
      </c>
      <c r="I222" t="s">
        <v>707</v>
      </c>
      <c r="J222" t="s">
        <v>2628</v>
      </c>
      <c r="K222" t="s">
        <v>1481</v>
      </c>
      <c r="L222" t="s">
        <v>868</v>
      </c>
      <c r="N222" t="s">
        <v>861</v>
      </c>
      <c r="O222">
        <v>0</v>
      </c>
      <c r="P222" t="s">
        <v>869</v>
      </c>
      <c r="Q222" t="s">
        <v>15</v>
      </c>
      <c r="R222" t="s">
        <v>870</v>
      </c>
      <c r="S222" t="s">
        <v>954</v>
      </c>
      <c r="T222" t="s">
        <v>2622</v>
      </c>
      <c r="U222" t="s">
        <v>2622</v>
      </c>
      <c r="V222" t="s">
        <v>936</v>
      </c>
      <c r="W222" t="s">
        <v>889</v>
      </c>
      <c r="Y222" t="s">
        <v>874</v>
      </c>
      <c r="Z222" t="s">
        <v>861</v>
      </c>
      <c r="AA222" t="s">
        <v>922</v>
      </c>
      <c r="AJ222" t="s">
        <v>861</v>
      </c>
      <c r="AK222" t="s">
        <v>880</v>
      </c>
      <c r="AP222" t="s">
        <v>987</v>
      </c>
      <c r="AZ222" t="s">
        <v>1382</v>
      </c>
      <c r="BK222" t="s">
        <v>1134</v>
      </c>
      <c r="BL222">
        <v>1890</v>
      </c>
      <c r="BM222">
        <v>64.42</v>
      </c>
      <c r="BN222">
        <v>13409</v>
      </c>
      <c r="BO222">
        <v>30394.3</v>
      </c>
      <c r="BP222">
        <v>30394.3</v>
      </c>
      <c r="BQ222">
        <v>33206.33</v>
      </c>
      <c r="BR222">
        <v>2812.02</v>
      </c>
      <c r="BS222" t="s">
        <v>892</v>
      </c>
      <c r="BT222">
        <v>2808</v>
      </c>
      <c r="BV222" t="s">
        <v>2623</v>
      </c>
      <c r="BW222" t="s">
        <v>2624</v>
      </c>
      <c r="BX222" t="s">
        <v>895</v>
      </c>
      <c r="BY222" t="s">
        <v>2625</v>
      </c>
      <c r="CD222" t="s">
        <v>2629</v>
      </c>
      <c r="CG222" t="s">
        <v>2628</v>
      </c>
      <c r="CH222" t="s">
        <v>1495</v>
      </c>
      <c r="CI222" t="s">
        <v>2630</v>
      </c>
      <c r="CJ222" t="s">
        <v>2630</v>
      </c>
      <c r="CP222" t="s">
        <v>1128</v>
      </c>
      <c r="CT222" t="s">
        <v>901</v>
      </c>
    </row>
    <row r="223" spans="1:98" x14ac:dyDescent="0.15">
      <c r="A223" t="s">
        <v>861</v>
      </c>
      <c r="B223" t="s">
        <v>862</v>
      </c>
      <c r="C223" t="s">
        <v>757</v>
      </c>
      <c r="D223" t="s">
        <v>757</v>
      </c>
      <c r="E223" t="s">
        <v>757</v>
      </c>
      <c r="F223" t="s">
        <v>863</v>
      </c>
      <c r="G223" t="s">
        <v>864</v>
      </c>
      <c r="H223" t="s">
        <v>863</v>
      </c>
      <c r="I223" t="s">
        <v>756</v>
      </c>
      <c r="J223" t="s">
        <v>2631</v>
      </c>
      <c r="K223" t="s">
        <v>1481</v>
      </c>
      <c r="L223" t="s">
        <v>868</v>
      </c>
      <c r="N223" t="s">
        <v>861</v>
      </c>
      <c r="O223">
        <v>0</v>
      </c>
      <c r="P223" t="s">
        <v>869</v>
      </c>
      <c r="Q223" t="s">
        <v>15</v>
      </c>
      <c r="R223" t="s">
        <v>870</v>
      </c>
      <c r="S223" t="s">
        <v>954</v>
      </c>
      <c r="T223" t="s">
        <v>2632</v>
      </c>
      <c r="U223" t="s">
        <v>2632</v>
      </c>
      <c r="V223" t="s">
        <v>936</v>
      </c>
      <c r="W223" t="s">
        <v>1526</v>
      </c>
      <c r="Y223" t="s">
        <v>874</v>
      </c>
      <c r="Z223" t="s">
        <v>861</v>
      </c>
      <c r="AA223" t="s">
        <v>958</v>
      </c>
      <c r="AB223" t="s">
        <v>2633</v>
      </c>
      <c r="AD223" t="s">
        <v>1484</v>
      </c>
      <c r="AJ223" t="s">
        <v>861</v>
      </c>
      <c r="AK223" t="s">
        <v>880</v>
      </c>
      <c r="AP223" t="s">
        <v>1276</v>
      </c>
      <c r="AZ223" t="s">
        <v>2546</v>
      </c>
      <c r="BK223" t="s">
        <v>1134</v>
      </c>
      <c r="BL223">
        <v>835</v>
      </c>
      <c r="BM223">
        <v>68.180000000000007</v>
      </c>
      <c r="BN223">
        <v>12818.5</v>
      </c>
      <c r="BO223">
        <v>29221.3</v>
      </c>
      <c r="BP223">
        <v>29221.3</v>
      </c>
      <c r="BQ223">
        <v>32052.17</v>
      </c>
      <c r="BR223">
        <v>2830.88</v>
      </c>
      <c r="BS223" t="s">
        <v>892</v>
      </c>
      <c r="BT223">
        <v>2827</v>
      </c>
      <c r="BV223" t="s">
        <v>2634</v>
      </c>
      <c r="BW223" t="s">
        <v>2635</v>
      </c>
      <c r="BX223" t="s">
        <v>895</v>
      </c>
      <c r="BY223" t="s">
        <v>2636</v>
      </c>
      <c r="CD223" t="s">
        <v>2637</v>
      </c>
      <c r="CG223" t="s">
        <v>2631</v>
      </c>
      <c r="CH223" t="s">
        <v>1495</v>
      </c>
      <c r="CI223" t="s">
        <v>2638</v>
      </c>
      <c r="CJ223" t="s">
        <v>2638</v>
      </c>
      <c r="CP223" t="s">
        <v>1464</v>
      </c>
      <c r="CT223" t="s">
        <v>901</v>
      </c>
    </row>
    <row r="224" spans="1:98" x14ac:dyDescent="0.15">
      <c r="A224" t="s">
        <v>861</v>
      </c>
      <c r="B224" t="s">
        <v>862</v>
      </c>
      <c r="C224" t="s">
        <v>716</v>
      </c>
      <c r="D224" t="s">
        <v>716</v>
      </c>
      <c r="E224" t="s">
        <v>716</v>
      </c>
      <c r="F224" t="s">
        <v>863</v>
      </c>
      <c r="G224" t="s">
        <v>864</v>
      </c>
      <c r="H224" t="s">
        <v>863</v>
      </c>
      <c r="I224" t="s">
        <v>715</v>
      </c>
      <c r="J224" t="s">
        <v>2639</v>
      </c>
      <c r="K224" t="s">
        <v>1481</v>
      </c>
      <c r="L224" t="s">
        <v>868</v>
      </c>
      <c r="N224" t="s">
        <v>861</v>
      </c>
      <c r="O224">
        <v>0</v>
      </c>
      <c r="P224" t="s">
        <v>869</v>
      </c>
      <c r="Q224" t="s">
        <v>15</v>
      </c>
      <c r="R224" t="s">
        <v>870</v>
      </c>
      <c r="S224" t="s">
        <v>954</v>
      </c>
      <c r="T224" t="s">
        <v>2622</v>
      </c>
      <c r="U224" t="s">
        <v>2622</v>
      </c>
      <c r="V224" t="s">
        <v>936</v>
      </c>
      <c r="W224" t="s">
        <v>889</v>
      </c>
      <c r="Y224" t="s">
        <v>874</v>
      </c>
      <c r="Z224" t="s">
        <v>861</v>
      </c>
      <c r="AA224" t="s">
        <v>922</v>
      </c>
      <c r="AJ224" t="s">
        <v>861</v>
      </c>
      <c r="AK224" t="s">
        <v>880</v>
      </c>
      <c r="AP224" t="s">
        <v>987</v>
      </c>
      <c r="AZ224" t="s">
        <v>1382</v>
      </c>
      <c r="BK224" t="s">
        <v>1134</v>
      </c>
      <c r="BL224">
        <v>270</v>
      </c>
      <c r="BM224">
        <v>67.45</v>
      </c>
      <c r="BN224">
        <v>5912</v>
      </c>
      <c r="BO224">
        <v>18396.2</v>
      </c>
      <c r="BP224">
        <v>18396.2</v>
      </c>
      <c r="BQ224">
        <v>21206.77</v>
      </c>
      <c r="BR224">
        <v>2810.57</v>
      </c>
      <c r="BS224" t="s">
        <v>892</v>
      </c>
      <c r="BT224">
        <v>2808</v>
      </c>
      <c r="BV224" t="s">
        <v>2623</v>
      </c>
      <c r="BW224" t="s">
        <v>2624</v>
      </c>
      <c r="BX224" t="s">
        <v>895</v>
      </c>
      <c r="BY224" t="s">
        <v>2636</v>
      </c>
      <c r="CD224" t="s">
        <v>2640</v>
      </c>
      <c r="CG224" t="s">
        <v>2639</v>
      </c>
      <c r="CH224" t="s">
        <v>1495</v>
      </c>
      <c r="CI224" t="s">
        <v>2641</v>
      </c>
      <c r="CJ224" t="s">
        <v>2641</v>
      </c>
      <c r="CP224" t="s">
        <v>1128</v>
      </c>
      <c r="CT224" t="s">
        <v>901</v>
      </c>
    </row>
    <row r="225" spans="1:98" x14ac:dyDescent="0.15">
      <c r="A225" t="s">
        <v>861</v>
      </c>
      <c r="B225" t="s">
        <v>862</v>
      </c>
      <c r="C225" t="s">
        <v>694</v>
      </c>
      <c r="D225" t="s">
        <v>694</v>
      </c>
      <c r="E225" t="s">
        <v>694</v>
      </c>
      <c r="F225" t="s">
        <v>863</v>
      </c>
      <c r="G225" t="s">
        <v>864</v>
      </c>
      <c r="H225" t="s">
        <v>863</v>
      </c>
      <c r="I225" t="s">
        <v>693</v>
      </c>
      <c r="J225" t="s">
        <v>2642</v>
      </c>
      <c r="K225" t="s">
        <v>1481</v>
      </c>
      <c r="L225" t="s">
        <v>868</v>
      </c>
      <c r="N225" t="s">
        <v>861</v>
      </c>
      <c r="O225">
        <v>0</v>
      </c>
      <c r="P225" t="s">
        <v>869</v>
      </c>
      <c r="Q225" t="s">
        <v>15</v>
      </c>
      <c r="R225" t="s">
        <v>870</v>
      </c>
      <c r="S225" t="s">
        <v>954</v>
      </c>
      <c r="T225" t="s">
        <v>2622</v>
      </c>
      <c r="U225" t="s">
        <v>2622</v>
      </c>
      <c r="V225" t="s">
        <v>936</v>
      </c>
      <c r="W225" t="s">
        <v>889</v>
      </c>
      <c r="Y225" t="s">
        <v>874</v>
      </c>
      <c r="Z225" t="s">
        <v>861</v>
      </c>
      <c r="AA225" t="s">
        <v>922</v>
      </c>
      <c r="AJ225" t="s">
        <v>861</v>
      </c>
      <c r="AK225" t="s">
        <v>880</v>
      </c>
      <c r="AP225" t="s">
        <v>987</v>
      </c>
      <c r="AZ225" t="s">
        <v>1382</v>
      </c>
      <c r="BK225" t="s">
        <v>1134</v>
      </c>
      <c r="BL225">
        <v>941</v>
      </c>
      <c r="BM225">
        <v>63.46</v>
      </c>
      <c r="BN225">
        <v>6708.4</v>
      </c>
      <c r="BO225">
        <v>13712.15</v>
      </c>
      <c r="BP225">
        <v>13712.15</v>
      </c>
      <c r="BQ225">
        <v>16522.150000000001</v>
      </c>
      <c r="BR225">
        <v>2810</v>
      </c>
      <c r="BS225" t="s">
        <v>892</v>
      </c>
      <c r="BT225">
        <v>2808</v>
      </c>
      <c r="BV225" t="s">
        <v>2623</v>
      </c>
      <c r="BW225" t="s">
        <v>2624</v>
      </c>
      <c r="BX225" t="s">
        <v>895</v>
      </c>
      <c r="BY225" t="s">
        <v>2636</v>
      </c>
      <c r="CD225" t="s">
        <v>2643</v>
      </c>
      <c r="CG225" t="s">
        <v>2642</v>
      </c>
      <c r="CH225" t="s">
        <v>1495</v>
      </c>
      <c r="CI225" t="s">
        <v>2644</v>
      </c>
      <c r="CJ225" t="s">
        <v>2644</v>
      </c>
      <c r="CP225" t="s">
        <v>1128</v>
      </c>
      <c r="CT225" t="s">
        <v>901</v>
      </c>
    </row>
    <row r="226" spans="1:98" x14ac:dyDescent="0.15">
      <c r="A226" t="s">
        <v>861</v>
      </c>
      <c r="B226" t="s">
        <v>862</v>
      </c>
      <c r="C226" t="s">
        <v>704</v>
      </c>
      <c r="D226" t="s">
        <v>704</v>
      </c>
      <c r="E226" t="s">
        <v>704</v>
      </c>
      <c r="F226" t="s">
        <v>863</v>
      </c>
      <c r="G226" t="s">
        <v>864</v>
      </c>
      <c r="H226" t="s">
        <v>863</v>
      </c>
      <c r="I226" t="s">
        <v>703</v>
      </c>
      <c r="J226" t="s">
        <v>2645</v>
      </c>
      <c r="K226" t="s">
        <v>1481</v>
      </c>
      <c r="L226" t="s">
        <v>868</v>
      </c>
      <c r="N226" t="s">
        <v>861</v>
      </c>
      <c r="O226">
        <v>0</v>
      </c>
      <c r="P226" t="s">
        <v>869</v>
      </c>
      <c r="Q226" t="s">
        <v>15</v>
      </c>
      <c r="R226" t="s">
        <v>870</v>
      </c>
      <c r="S226" t="s">
        <v>954</v>
      </c>
      <c r="T226" t="s">
        <v>2622</v>
      </c>
      <c r="U226" t="s">
        <v>2622</v>
      </c>
      <c r="V226" t="s">
        <v>936</v>
      </c>
      <c r="W226" t="s">
        <v>889</v>
      </c>
      <c r="Y226" t="s">
        <v>874</v>
      </c>
      <c r="Z226" t="s">
        <v>861</v>
      </c>
      <c r="AA226" t="s">
        <v>922</v>
      </c>
      <c r="AJ226" t="s">
        <v>861</v>
      </c>
      <c r="AK226" t="s">
        <v>880</v>
      </c>
      <c r="AP226" t="s">
        <v>987</v>
      </c>
      <c r="AZ226" t="s">
        <v>1382</v>
      </c>
      <c r="BK226" t="s">
        <v>1134</v>
      </c>
      <c r="BL226">
        <v>502</v>
      </c>
      <c r="BM226">
        <v>63.31</v>
      </c>
      <c r="BN226">
        <v>7121.5</v>
      </c>
      <c r="BO226">
        <v>12964.31</v>
      </c>
      <c r="BP226">
        <v>12964.31</v>
      </c>
      <c r="BQ226">
        <v>15774.21</v>
      </c>
      <c r="BR226">
        <v>2809.91</v>
      </c>
      <c r="BS226" t="s">
        <v>892</v>
      </c>
      <c r="BT226">
        <v>2808</v>
      </c>
      <c r="BV226" t="s">
        <v>2623</v>
      </c>
      <c r="BW226" t="s">
        <v>2624</v>
      </c>
      <c r="BX226" t="s">
        <v>895</v>
      </c>
      <c r="BY226" t="s">
        <v>2625</v>
      </c>
      <c r="CD226" t="s">
        <v>2629</v>
      </c>
      <c r="CG226" t="s">
        <v>2645</v>
      </c>
      <c r="CH226" t="s">
        <v>1495</v>
      </c>
      <c r="CI226" t="s">
        <v>2646</v>
      </c>
      <c r="CJ226" t="s">
        <v>2646</v>
      </c>
      <c r="CP226" t="s">
        <v>1128</v>
      </c>
      <c r="CT226" t="s">
        <v>901</v>
      </c>
    </row>
    <row r="227" spans="1:98" x14ac:dyDescent="0.15">
      <c r="A227" t="s">
        <v>861</v>
      </c>
      <c r="B227" t="s">
        <v>862</v>
      </c>
      <c r="C227" t="s">
        <v>692</v>
      </c>
      <c r="D227" t="s">
        <v>692</v>
      </c>
      <c r="E227" t="s">
        <v>692</v>
      </c>
      <c r="F227" t="s">
        <v>863</v>
      </c>
      <c r="G227" t="s">
        <v>864</v>
      </c>
      <c r="H227" t="s">
        <v>863</v>
      </c>
      <c r="I227" t="s">
        <v>691</v>
      </c>
      <c r="J227" t="s">
        <v>2647</v>
      </c>
      <c r="K227" t="s">
        <v>1481</v>
      </c>
      <c r="L227" t="s">
        <v>868</v>
      </c>
      <c r="N227" t="s">
        <v>861</v>
      </c>
      <c r="O227">
        <v>0</v>
      </c>
      <c r="P227" t="s">
        <v>869</v>
      </c>
      <c r="Q227" t="s">
        <v>15</v>
      </c>
      <c r="R227" t="s">
        <v>870</v>
      </c>
      <c r="S227" t="s">
        <v>954</v>
      </c>
      <c r="T227" t="s">
        <v>2622</v>
      </c>
      <c r="U227" t="s">
        <v>2622</v>
      </c>
      <c r="V227" t="s">
        <v>936</v>
      </c>
      <c r="W227" t="s">
        <v>889</v>
      </c>
      <c r="Y227" t="s">
        <v>874</v>
      </c>
      <c r="Z227" t="s">
        <v>861</v>
      </c>
      <c r="AA227" t="s">
        <v>922</v>
      </c>
      <c r="AJ227" t="s">
        <v>861</v>
      </c>
      <c r="AK227" t="s">
        <v>880</v>
      </c>
      <c r="AP227" t="s">
        <v>987</v>
      </c>
      <c r="AZ227" t="s">
        <v>1382</v>
      </c>
      <c r="BK227" t="s">
        <v>1134</v>
      </c>
      <c r="BL227">
        <v>440</v>
      </c>
      <c r="BM227">
        <v>67.959999999999994</v>
      </c>
      <c r="BN227">
        <v>12893</v>
      </c>
      <c r="BO227">
        <v>22345</v>
      </c>
      <c r="BP227">
        <v>22345</v>
      </c>
      <c r="BQ227">
        <v>25156.04</v>
      </c>
      <c r="BR227">
        <v>2811.04</v>
      </c>
      <c r="BS227" t="s">
        <v>892</v>
      </c>
      <c r="BT227">
        <v>2808</v>
      </c>
      <c r="BV227" t="s">
        <v>2623</v>
      </c>
      <c r="BW227" t="s">
        <v>2624</v>
      </c>
      <c r="BX227" t="s">
        <v>895</v>
      </c>
      <c r="BY227" t="s">
        <v>2648</v>
      </c>
      <c r="CD227" t="s">
        <v>2649</v>
      </c>
      <c r="CG227" t="s">
        <v>2647</v>
      </c>
      <c r="CH227" t="s">
        <v>1495</v>
      </c>
      <c r="CI227" t="s">
        <v>2650</v>
      </c>
      <c r="CJ227" t="s">
        <v>2650</v>
      </c>
      <c r="CP227" t="s">
        <v>1128</v>
      </c>
      <c r="CT227" t="s">
        <v>901</v>
      </c>
    </row>
    <row r="228" spans="1:98" x14ac:dyDescent="0.15">
      <c r="A228" t="s">
        <v>861</v>
      </c>
      <c r="B228" t="s">
        <v>862</v>
      </c>
      <c r="C228" t="s">
        <v>700</v>
      </c>
      <c r="D228" t="s">
        <v>700</v>
      </c>
      <c r="E228" t="s">
        <v>700</v>
      </c>
      <c r="F228" t="s">
        <v>863</v>
      </c>
      <c r="G228" t="s">
        <v>864</v>
      </c>
      <c r="H228" t="s">
        <v>863</v>
      </c>
      <c r="I228" t="s">
        <v>699</v>
      </c>
      <c r="J228" t="s">
        <v>2651</v>
      </c>
      <c r="K228" t="s">
        <v>1481</v>
      </c>
      <c r="L228" t="s">
        <v>868</v>
      </c>
      <c r="N228" t="s">
        <v>861</v>
      </c>
      <c r="O228">
        <v>0</v>
      </c>
      <c r="P228" t="s">
        <v>869</v>
      </c>
      <c r="Q228" t="s">
        <v>15</v>
      </c>
      <c r="R228" t="s">
        <v>870</v>
      </c>
      <c r="S228" t="s">
        <v>954</v>
      </c>
      <c r="T228" t="s">
        <v>2622</v>
      </c>
      <c r="U228" t="s">
        <v>2622</v>
      </c>
      <c r="V228" t="s">
        <v>936</v>
      </c>
      <c r="W228" t="s">
        <v>889</v>
      </c>
      <c r="Y228" t="s">
        <v>874</v>
      </c>
      <c r="Z228" t="s">
        <v>861</v>
      </c>
      <c r="AA228" t="s">
        <v>922</v>
      </c>
      <c r="AJ228" t="s">
        <v>861</v>
      </c>
      <c r="AK228" t="s">
        <v>880</v>
      </c>
      <c r="AP228" t="s">
        <v>987</v>
      </c>
      <c r="AZ228" t="s">
        <v>1382</v>
      </c>
      <c r="BK228" t="s">
        <v>1134</v>
      </c>
      <c r="BL228">
        <v>460</v>
      </c>
      <c r="BM228">
        <v>67.08</v>
      </c>
      <c r="BN228">
        <v>10901.2</v>
      </c>
      <c r="BO228">
        <v>17263.52</v>
      </c>
      <c r="BP228">
        <v>17263.52</v>
      </c>
      <c r="BQ228">
        <v>20073.95</v>
      </c>
      <c r="BR228">
        <v>2810.43</v>
      </c>
      <c r="BS228" t="s">
        <v>892</v>
      </c>
      <c r="BT228">
        <v>2808</v>
      </c>
      <c r="BV228" t="s">
        <v>2623</v>
      </c>
      <c r="BW228" t="s">
        <v>2624</v>
      </c>
      <c r="BX228" t="s">
        <v>895</v>
      </c>
      <c r="BY228" t="s">
        <v>2648</v>
      </c>
      <c r="CD228" t="s">
        <v>2649</v>
      </c>
      <c r="CG228" t="s">
        <v>2651</v>
      </c>
      <c r="CH228" t="s">
        <v>1495</v>
      </c>
      <c r="CI228" t="s">
        <v>2652</v>
      </c>
      <c r="CJ228" t="s">
        <v>2652</v>
      </c>
      <c r="CP228" t="s">
        <v>1128</v>
      </c>
      <c r="CT228" t="s">
        <v>901</v>
      </c>
    </row>
    <row r="229" spans="1:98" x14ac:dyDescent="0.15">
      <c r="A229" t="s">
        <v>861</v>
      </c>
      <c r="B229" t="s">
        <v>862</v>
      </c>
      <c r="C229" t="s">
        <v>718</v>
      </c>
      <c r="D229" t="s">
        <v>718</v>
      </c>
      <c r="E229" t="s">
        <v>718</v>
      </c>
      <c r="F229" t="s">
        <v>863</v>
      </c>
      <c r="G229" t="s">
        <v>864</v>
      </c>
      <c r="H229" t="s">
        <v>863</v>
      </c>
      <c r="I229" t="s">
        <v>717</v>
      </c>
      <c r="J229" t="s">
        <v>2653</v>
      </c>
      <c r="K229" t="s">
        <v>1481</v>
      </c>
      <c r="L229" t="s">
        <v>868</v>
      </c>
      <c r="N229" t="s">
        <v>861</v>
      </c>
      <c r="O229">
        <v>0</v>
      </c>
      <c r="P229" t="s">
        <v>869</v>
      </c>
      <c r="Q229" t="s">
        <v>15</v>
      </c>
      <c r="R229" t="s">
        <v>870</v>
      </c>
      <c r="S229" t="s">
        <v>954</v>
      </c>
      <c r="T229" t="s">
        <v>2622</v>
      </c>
      <c r="U229" t="s">
        <v>2622</v>
      </c>
      <c r="V229" t="s">
        <v>936</v>
      </c>
      <c r="W229" t="s">
        <v>889</v>
      </c>
      <c r="Y229" t="s">
        <v>874</v>
      </c>
      <c r="Z229" t="s">
        <v>861</v>
      </c>
      <c r="AA229" t="s">
        <v>922</v>
      </c>
      <c r="AJ229" t="s">
        <v>861</v>
      </c>
      <c r="AK229" t="s">
        <v>880</v>
      </c>
      <c r="AP229" t="s">
        <v>987</v>
      </c>
      <c r="AZ229" t="s">
        <v>1382</v>
      </c>
      <c r="BK229" t="s">
        <v>1134</v>
      </c>
      <c r="BL229">
        <v>412</v>
      </c>
      <c r="BM229">
        <v>64.290000000000006</v>
      </c>
      <c r="BN229">
        <v>9017.6</v>
      </c>
      <c r="BO229">
        <v>16059.38</v>
      </c>
      <c r="BP229">
        <v>16059.38</v>
      </c>
      <c r="BQ229">
        <v>18869.64</v>
      </c>
      <c r="BR229">
        <v>2810.28</v>
      </c>
      <c r="BS229" t="s">
        <v>892</v>
      </c>
      <c r="BT229">
        <v>2808</v>
      </c>
      <c r="BV229" t="s">
        <v>2623</v>
      </c>
      <c r="BW229" t="s">
        <v>2624</v>
      </c>
      <c r="BX229" t="s">
        <v>895</v>
      </c>
      <c r="BY229" t="s">
        <v>2648</v>
      </c>
      <c r="CD229" t="s">
        <v>2640</v>
      </c>
      <c r="CG229" t="s">
        <v>2653</v>
      </c>
      <c r="CH229" t="s">
        <v>1495</v>
      </c>
      <c r="CI229" t="s">
        <v>2654</v>
      </c>
      <c r="CJ229" t="s">
        <v>2654</v>
      </c>
      <c r="CP229" t="s">
        <v>1128</v>
      </c>
      <c r="CT229" t="s">
        <v>901</v>
      </c>
    </row>
    <row r="230" spans="1:98" x14ac:dyDescent="0.15">
      <c r="A230" t="s">
        <v>861</v>
      </c>
      <c r="B230" t="s">
        <v>862</v>
      </c>
      <c r="C230" t="s">
        <v>710</v>
      </c>
      <c r="D230" t="s">
        <v>710</v>
      </c>
      <c r="E230" t="s">
        <v>710</v>
      </c>
      <c r="F230" t="s">
        <v>863</v>
      </c>
      <c r="G230" t="s">
        <v>864</v>
      </c>
      <c r="H230" t="s">
        <v>863</v>
      </c>
      <c r="I230" t="s">
        <v>709</v>
      </c>
      <c r="J230" t="s">
        <v>2655</v>
      </c>
      <c r="K230" t="s">
        <v>1481</v>
      </c>
      <c r="L230" t="s">
        <v>868</v>
      </c>
      <c r="N230" t="s">
        <v>1259</v>
      </c>
      <c r="O230">
        <v>0</v>
      </c>
      <c r="P230" t="s">
        <v>869</v>
      </c>
      <c r="Q230" t="s">
        <v>15</v>
      </c>
      <c r="R230" t="s">
        <v>870</v>
      </c>
      <c r="S230" t="s">
        <v>954</v>
      </c>
      <c r="T230" t="s">
        <v>2622</v>
      </c>
      <c r="U230" t="s">
        <v>2622</v>
      </c>
      <c r="V230" t="s">
        <v>936</v>
      </c>
      <c r="W230" t="s">
        <v>889</v>
      </c>
      <c r="Y230" t="s">
        <v>874</v>
      </c>
      <c r="Z230" t="s">
        <v>861</v>
      </c>
      <c r="AA230" t="s">
        <v>922</v>
      </c>
      <c r="AJ230" t="s">
        <v>861</v>
      </c>
      <c r="AK230" t="s">
        <v>880</v>
      </c>
      <c r="AP230" t="s">
        <v>987</v>
      </c>
      <c r="AZ230" t="s">
        <v>1382</v>
      </c>
      <c r="BK230" t="s">
        <v>1134</v>
      </c>
      <c r="BL230">
        <v>1016</v>
      </c>
      <c r="BM230">
        <v>63.89</v>
      </c>
      <c r="BN230">
        <v>8491.6</v>
      </c>
      <c r="BO230">
        <v>17511.55</v>
      </c>
      <c r="BP230">
        <v>17511.55</v>
      </c>
      <c r="BQ230">
        <v>20322</v>
      </c>
      <c r="BR230">
        <v>2810.46</v>
      </c>
      <c r="BS230" t="s">
        <v>892</v>
      </c>
      <c r="BT230">
        <v>2808</v>
      </c>
      <c r="BV230" t="s">
        <v>2623</v>
      </c>
      <c r="BW230" t="s">
        <v>2624</v>
      </c>
      <c r="BX230" t="s">
        <v>895</v>
      </c>
      <c r="BY230" t="s">
        <v>2656</v>
      </c>
      <c r="CD230" t="s">
        <v>2657</v>
      </c>
      <c r="CG230" t="s">
        <v>2655</v>
      </c>
      <c r="CH230" t="s">
        <v>1495</v>
      </c>
      <c r="CI230" t="s">
        <v>2658</v>
      </c>
      <c r="CJ230" t="s">
        <v>2658</v>
      </c>
      <c r="CP230" t="s">
        <v>1128</v>
      </c>
      <c r="CT230" t="s">
        <v>901</v>
      </c>
    </row>
    <row r="231" spans="1:98" x14ac:dyDescent="0.15">
      <c r="A231" t="s">
        <v>861</v>
      </c>
      <c r="B231" t="s">
        <v>862</v>
      </c>
      <c r="C231" t="s">
        <v>714</v>
      </c>
      <c r="D231" t="s">
        <v>714</v>
      </c>
      <c r="E231" t="s">
        <v>714</v>
      </c>
      <c r="F231" t="s">
        <v>863</v>
      </c>
      <c r="G231" t="s">
        <v>864</v>
      </c>
      <c r="H231" t="s">
        <v>863</v>
      </c>
      <c r="I231" t="s">
        <v>713</v>
      </c>
      <c r="J231" t="s">
        <v>2659</v>
      </c>
      <c r="K231" t="s">
        <v>1481</v>
      </c>
      <c r="L231" t="s">
        <v>868</v>
      </c>
      <c r="N231" t="s">
        <v>861</v>
      </c>
      <c r="O231">
        <v>0</v>
      </c>
      <c r="P231" t="s">
        <v>869</v>
      </c>
      <c r="Q231" t="s">
        <v>15</v>
      </c>
      <c r="R231" t="s">
        <v>870</v>
      </c>
      <c r="S231" t="s">
        <v>954</v>
      </c>
      <c r="T231" t="s">
        <v>2632</v>
      </c>
      <c r="U231" t="s">
        <v>2632</v>
      </c>
      <c r="V231" t="s">
        <v>936</v>
      </c>
      <c r="W231" t="s">
        <v>1526</v>
      </c>
      <c r="Y231" t="s">
        <v>874</v>
      </c>
      <c r="Z231" t="s">
        <v>861</v>
      </c>
      <c r="AA231" t="s">
        <v>922</v>
      </c>
      <c r="AJ231" t="s">
        <v>861</v>
      </c>
      <c r="AK231" t="s">
        <v>880</v>
      </c>
      <c r="AP231" t="s">
        <v>1276</v>
      </c>
      <c r="AZ231" t="s">
        <v>2546</v>
      </c>
      <c r="BK231" t="s">
        <v>1134</v>
      </c>
      <c r="BL231">
        <v>910</v>
      </c>
      <c r="BM231">
        <v>67.150000000000006</v>
      </c>
      <c r="BN231">
        <v>10131.06</v>
      </c>
      <c r="BO231">
        <v>24752.799999999999</v>
      </c>
      <c r="BP231">
        <v>24752.799999999999</v>
      </c>
      <c r="BQ231">
        <v>27564.13</v>
      </c>
      <c r="BR231">
        <v>2811.33</v>
      </c>
      <c r="BS231" t="s">
        <v>892</v>
      </c>
      <c r="BT231">
        <v>2808</v>
      </c>
      <c r="BV231" t="s">
        <v>2634</v>
      </c>
      <c r="BW231" t="s">
        <v>2635</v>
      </c>
      <c r="BX231" t="s">
        <v>895</v>
      </c>
      <c r="BY231" t="s">
        <v>2660</v>
      </c>
      <c r="CD231" t="s">
        <v>2661</v>
      </c>
      <c r="CG231" t="s">
        <v>2659</v>
      </c>
      <c r="CH231" t="s">
        <v>1495</v>
      </c>
      <c r="CI231" t="s">
        <v>2662</v>
      </c>
      <c r="CJ231" t="s">
        <v>2662</v>
      </c>
      <c r="CP231" t="s">
        <v>1464</v>
      </c>
      <c r="CT231" t="s">
        <v>901</v>
      </c>
    </row>
    <row r="232" spans="1:98" x14ac:dyDescent="0.15">
      <c r="A232" t="s">
        <v>861</v>
      </c>
      <c r="B232" t="s">
        <v>862</v>
      </c>
      <c r="C232" t="s">
        <v>712</v>
      </c>
      <c r="D232" t="s">
        <v>712</v>
      </c>
      <c r="E232" t="s">
        <v>712</v>
      </c>
      <c r="F232" t="s">
        <v>863</v>
      </c>
      <c r="G232" t="s">
        <v>864</v>
      </c>
      <c r="H232" t="s">
        <v>863</v>
      </c>
      <c r="I232" t="s">
        <v>711</v>
      </c>
      <c r="J232" t="s">
        <v>2663</v>
      </c>
      <c r="K232" t="s">
        <v>1481</v>
      </c>
      <c r="L232" t="s">
        <v>868</v>
      </c>
      <c r="N232" t="s">
        <v>1259</v>
      </c>
      <c r="O232">
        <v>0</v>
      </c>
      <c r="P232" t="s">
        <v>869</v>
      </c>
      <c r="Q232" t="s">
        <v>15</v>
      </c>
      <c r="R232" t="s">
        <v>870</v>
      </c>
      <c r="S232" t="s">
        <v>954</v>
      </c>
      <c r="T232" t="s">
        <v>2632</v>
      </c>
      <c r="U232" t="s">
        <v>2632</v>
      </c>
      <c r="V232" t="s">
        <v>936</v>
      </c>
      <c r="W232" t="s">
        <v>1526</v>
      </c>
      <c r="Y232" t="s">
        <v>874</v>
      </c>
      <c r="Z232" t="s">
        <v>861</v>
      </c>
      <c r="AA232" t="s">
        <v>922</v>
      </c>
      <c r="AJ232" t="s">
        <v>861</v>
      </c>
      <c r="AK232" t="s">
        <v>880</v>
      </c>
      <c r="AP232" t="s">
        <v>1276</v>
      </c>
      <c r="AZ232" t="s">
        <v>2546</v>
      </c>
      <c r="BK232" t="s">
        <v>1134</v>
      </c>
      <c r="BL232">
        <v>712</v>
      </c>
      <c r="BM232">
        <v>65.62</v>
      </c>
      <c r="BN232">
        <v>10987.4</v>
      </c>
      <c r="BO232">
        <v>20475.150000000001</v>
      </c>
      <c r="BP232">
        <v>20475.150000000001</v>
      </c>
      <c r="BQ232">
        <v>23285.97</v>
      </c>
      <c r="BR232">
        <v>2810.82</v>
      </c>
      <c r="BS232" t="s">
        <v>892</v>
      </c>
      <c r="BT232">
        <v>2808</v>
      </c>
      <c r="BV232" t="s">
        <v>2634</v>
      </c>
      <c r="BW232" t="s">
        <v>2635</v>
      </c>
      <c r="BX232" t="s">
        <v>895</v>
      </c>
      <c r="BY232" t="s">
        <v>2656</v>
      </c>
      <c r="CD232" t="s">
        <v>2657</v>
      </c>
      <c r="CG232" t="s">
        <v>2663</v>
      </c>
      <c r="CH232" t="s">
        <v>1495</v>
      </c>
      <c r="CI232" t="s">
        <v>2664</v>
      </c>
      <c r="CJ232" t="s">
        <v>2664</v>
      </c>
      <c r="CP232" t="s">
        <v>1464</v>
      </c>
      <c r="CT232" t="s">
        <v>901</v>
      </c>
    </row>
    <row r="233" spans="1:98" x14ac:dyDescent="0.15">
      <c r="A233" t="s">
        <v>861</v>
      </c>
      <c r="B233" t="s">
        <v>862</v>
      </c>
      <c r="C233" t="s">
        <v>698</v>
      </c>
      <c r="D233" t="s">
        <v>698</v>
      </c>
      <c r="E233" t="s">
        <v>698</v>
      </c>
      <c r="F233" t="s">
        <v>863</v>
      </c>
      <c r="G233" t="s">
        <v>864</v>
      </c>
      <c r="H233" t="s">
        <v>863</v>
      </c>
      <c r="I233" t="s">
        <v>697</v>
      </c>
      <c r="J233" t="s">
        <v>2665</v>
      </c>
      <c r="K233" t="s">
        <v>1481</v>
      </c>
      <c r="L233" t="s">
        <v>868</v>
      </c>
      <c r="N233" t="s">
        <v>1259</v>
      </c>
      <c r="O233">
        <v>0</v>
      </c>
      <c r="P233" t="s">
        <v>869</v>
      </c>
      <c r="Q233" t="s">
        <v>15</v>
      </c>
      <c r="R233" t="s">
        <v>870</v>
      </c>
      <c r="S233" t="s">
        <v>954</v>
      </c>
      <c r="T233" t="s">
        <v>2632</v>
      </c>
      <c r="U233" t="s">
        <v>2632</v>
      </c>
      <c r="V233" t="s">
        <v>936</v>
      </c>
      <c r="W233" t="s">
        <v>1526</v>
      </c>
      <c r="Y233" t="s">
        <v>874</v>
      </c>
      <c r="Z233" t="s">
        <v>861</v>
      </c>
      <c r="AA233" t="s">
        <v>922</v>
      </c>
      <c r="AJ233" t="s">
        <v>861</v>
      </c>
      <c r="AK233" t="s">
        <v>880</v>
      </c>
      <c r="AP233" t="s">
        <v>1276</v>
      </c>
      <c r="AZ233" t="s">
        <v>2546</v>
      </c>
      <c r="BK233" t="s">
        <v>1134</v>
      </c>
      <c r="BL233">
        <v>516</v>
      </c>
      <c r="BM233">
        <v>66.72</v>
      </c>
      <c r="BN233">
        <v>6887</v>
      </c>
      <c r="BO233">
        <v>16809.14</v>
      </c>
      <c r="BP233">
        <v>16809.14</v>
      </c>
      <c r="BQ233">
        <v>19619.55</v>
      </c>
      <c r="BR233">
        <v>2810.37</v>
      </c>
      <c r="BS233" t="s">
        <v>892</v>
      </c>
      <c r="BT233">
        <v>2808</v>
      </c>
      <c r="BV233" t="s">
        <v>2634</v>
      </c>
      <c r="BW233" t="s">
        <v>2635</v>
      </c>
      <c r="BX233" t="s">
        <v>895</v>
      </c>
      <c r="BY233" t="s">
        <v>2656</v>
      </c>
      <c r="CD233" t="s">
        <v>2661</v>
      </c>
      <c r="CG233" t="s">
        <v>2665</v>
      </c>
      <c r="CH233" t="s">
        <v>1495</v>
      </c>
      <c r="CI233" t="s">
        <v>2666</v>
      </c>
      <c r="CJ233" t="s">
        <v>2666</v>
      </c>
      <c r="CP233" t="s">
        <v>1464</v>
      </c>
      <c r="CT233" t="s">
        <v>901</v>
      </c>
    </row>
    <row r="234" spans="1:98" x14ac:dyDescent="0.15">
      <c r="A234" t="s">
        <v>861</v>
      </c>
      <c r="B234" t="s">
        <v>862</v>
      </c>
      <c r="C234" t="s">
        <v>702</v>
      </c>
      <c r="D234" t="s">
        <v>702</v>
      </c>
      <c r="E234" t="s">
        <v>702</v>
      </c>
      <c r="F234" t="s">
        <v>863</v>
      </c>
      <c r="G234" t="s">
        <v>864</v>
      </c>
      <c r="H234" t="s">
        <v>863</v>
      </c>
      <c r="I234" t="s">
        <v>701</v>
      </c>
      <c r="J234" t="s">
        <v>2667</v>
      </c>
      <c r="K234" t="s">
        <v>1481</v>
      </c>
      <c r="L234" t="s">
        <v>868</v>
      </c>
      <c r="N234" t="s">
        <v>861</v>
      </c>
      <c r="O234">
        <v>0</v>
      </c>
      <c r="P234" t="s">
        <v>869</v>
      </c>
      <c r="Q234" t="s">
        <v>15</v>
      </c>
      <c r="R234" t="s">
        <v>870</v>
      </c>
      <c r="S234" t="s">
        <v>954</v>
      </c>
      <c r="T234" t="s">
        <v>2632</v>
      </c>
      <c r="U234" t="s">
        <v>2632</v>
      </c>
      <c r="V234" t="s">
        <v>936</v>
      </c>
      <c r="W234" t="s">
        <v>1526</v>
      </c>
      <c r="Y234" t="s">
        <v>910</v>
      </c>
      <c r="Z234" t="s">
        <v>861</v>
      </c>
      <c r="AA234" t="s">
        <v>922</v>
      </c>
      <c r="AJ234" t="s">
        <v>861</v>
      </c>
      <c r="AK234" t="s">
        <v>880</v>
      </c>
      <c r="AP234" t="s">
        <v>1276</v>
      </c>
      <c r="AZ234" t="s">
        <v>2546</v>
      </c>
      <c r="BK234" t="s">
        <v>1134</v>
      </c>
      <c r="BL234">
        <v>235</v>
      </c>
      <c r="BM234">
        <v>67.180000000000007</v>
      </c>
      <c r="BN234">
        <v>14202.5</v>
      </c>
      <c r="BO234">
        <v>19797.7</v>
      </c>
      <c r="BP234">
        <v>19797.7</v>
      </c>
      <c r="BQ234">
        <v>22608.44</v>
      </c>
      <c r="BR234">
        <v>2810.74</v>
      </c>
      <c r="BS234" t="s">
        <v>892</v>
      </c>
      <c r="BT234">
        <v>2808</v>
      </c>
      <c r="BV234" t="s">
        <v>2634</v>
      </c>
      <c r="BW234" t="s">
        <v>2635</v>
      </c>
      <c r="BX234" t="s">
        <v>895</v>
      </c>
      <c r="BY234" t="s">
        <v>2660</v>
      </c>
      <c r="CD234" t="s">
        <v>2668</v>
      </c>
      <c r="CG234" t="s">
        <v>2667</v>
      </c>
      <c r="CH234" t="s">
        <v>1495</v>
      </c>
      <c r="CI234" t="s">
        <v>2669</v>
      </c>
      <c r="CJ234" t="s">
        <v>2669</v>
      </c>
      <c r="CP234" t="s">
        <v>1464</v>
      </c>
      <c r="CT234" t="s">
        <v>901</v>
      </c>
    </row>
    <row r="235" spans="1:98" x14ac:dyDescent="0.15">
      <c r="A235" t="s">
        <v>861</v>
      </c>
      <c r="B235" t="s">
        <v>862</v>
      </c>
      <c r="C235" t="s">
        <v>706</v>
      </c>
      <c r="D235" t="s">
        <v>706</v>
      </c>
      <c r="E235" t="s">
        <v>706</v>
      </c>
      <c r="F235" t="s">
        <v>863</v>
      </c>
      <c r="G235" t="s">
        <v>864</v>
      </c>
      <c r="H235" t="s">
        <v>863</v>
      </c>
      <c r="I235" t="s">
        <v>705</v>
      </c>
      <c r="J235" t="s">
        <v>2670</v>
      </c>
      <c r="K235" t="s">
        <v>1481</v>
      </c>
      <c r="L235" t="s">
        <v>868</v>
      </c>
      <c r="N235" t="s">
        <v>861</v>
      </c>
      <c r="O235">
        <v>0</v>
      </c>
      <c r="P235" t="s">
        <v>869</v>
      </c>
      <c r="Q235" t="s">
        <v>15</v>
      </c>
      <c r="R235" t="s">
        <v>870</v>
      </c>
      <c r="S235" t="s">
        <v>954</v>
      </c>
      <c r="T235" t="s">
        <v>2632</v>
      </c>
      <c r="U235" t="s">
        <v>2632</v>
      </c>
      <c r="V235" t="s">
        <v>936</v>
      </c>
      <c r="W235" t="s">
        <v>1526</v>
      </c>
      <c r="Y235" t="s">
        <v>874</v>
      </c>
      <c r="Z235" t="s">
        <v>861</v>
      </c>
      <c r="AA235" t="s">
        <v>922</v>
      </c>
      <c r="AJ235" t="s">
        <v>861</v>
      </c>
      <c r="AK235" t="s">
        <v>880</v>
      </c>
      <c r="AP235" t="s">
        <v>1276</v>
      </c>
      <c r="AZ235" t="s">
        <v>2546</v>
      </c>
      <c r="BK235" t="s">
        <v>1134</v>
      </c>
      <c r="BL235">
        <v>1387</v>
      </c>
      <c r="BM235">
        <v>64.36</v>
      </c>
      <c r="BN235">
        <v>13640.26</v>
      </c>
      <c r="BO235">
        <v>30687.439999999999</v>
      </c>
      <c r="BP235">
        <v>30687.439999999999</v>
      </c>
      <c r="BQ235">
        <v>33499.49</v>
      </c>
      <c r="BR235">
        <v>2812.05</v>
      </c>
      <c r="BS235" t="s">
        <v>892</v>
      </c>
      <c r="BT235">
        <v>2808</v>
      </c>
      <c r="BV235" t="s">
        <v>2634</v>
      </c>
      <c r="BW235" t="s">
        <v>2635</v>
      </c>
      <c r="BX235" t="s">
        <v>895</v>
      </c>
      <c r="BY235" t="s">
        <v>2660</v>
      </c>
      <c r="CD235" t="s">
        <v>2671</v>
      </c>
      <c r="CG235" t="s">
        <v>2670</v>
      </c>
      <c r="CH235" t="s">
        <v>1495</v>
      </c>
      <c r="CI235" t="s">
        <v>2672</v>
      </c>
      <c r="CJ235" t="s">
        <v>2672</v>
      </c>
      <c r="CP235" t="s">
        <v>1464</v>
      </c>
      <c r="CT235" t="s">
        <v>901</v>
      </c>
    </row>
    <row r="236" spans="1:98" x14ac:dyDescent="0.15">
      <c r="A236" t="s">
        <v>861</v>
      </c>
      <c r="B236" t="s">
        <v>862</v>
      </c>
      <c r="C236" t="s">
        <v>511</v>
      </c>
      <c r="D236" t="s">
        <v>511</v>
      </c>
      <c r="E236" t="s">
        <v>511</v>
      </c>
      <c r="F236" t="s">
        <v>863</v>
      </c>
      <c r="G236" t="s">
        <v>864</v>
      </c>
      <c r="H236" t="s">
        <v>916</v>
      </c>
      <c r="I236" t="s">
        <v>510</v>
      </c>
      <c r="J236" t="s">
        <v>2673</v>
      </c>
      <c r="K236" t="s">
        <v>1481</v>
      </c>
      <c r="L236" t="s">
        <v>868</v>
      </c>
      <c r="N236" t="s">
        <v>861</v>
      </c>
      <c r="O236">
        <v>0</v>
      </c>
      <c r="P236" t="s">
        <v>869</v>
      </c>
      <c r="Q236" t="s">
        <v>15</v>
      </c>
      <c r="R236" t="s">
        <v>870</v>
      </c>
      <c r="S236" t="s">
        <v>954</v>
      </c>
      <c r="T236" t="s">
        <v>2632</v>
      </c>
      <c r="U236" t="s">
        <v>2632</v>
      </c>
      <c r="V236" t="s">
        <v>981</v>
      </c>
      <c r="W236" t="s">
        <v>1526</v>
      </c>
      <c r="Y236" t="s">
        <v>874</v>
      </c>
      <c r="Z236" t="s">
        <v>861</v>
      </c>
      <c r="AA236" t="s">
        <v>922</v>
      </c>
      <c r="AD236" t="s">
        <v>923</v>
      </c>
      <c r="AE236" t="s">
        <v>2674</v>
      </c>
      <c r="AJ236" t="s">
        <v>861</v>
      </c>
      <c r="AK236" t="s">
        <v>880</v>
      </c>
      <c r="AP236" t="s">
        <v>1276</v>
      </c>
      <c r="AZ236" t="s">
        <v>2546</v>
      </c>
      <c r="BK236" t="s">
        <v>1134</v>
      </c>
      <c r="BL236">
        <v>256</v>
      </c>
      <c r="BM236">
        <v>65.239999999999995</v>
      </c>
      <c r="BN236">
        <v>7166</v>
      </c>
      <c r="BO236">
        <v>18711.3</v>
      </c>
      <c r="BP236">
        <v>18711.3</v>
      </c>
      <c r="BQ236">
        <v>21540.92</v>
      </c>
      <c r="BR236">
        <v>2829.61</v>
      </c>
      <c r="BS236" t="s">
        <v>892</v>
      </c>
      <c r="BT236">
        <v>2827</v>
      </c>
      <c r="BV236" t="s">
        <v>2675</v>
      </c>
      <c r="BW236" t="s">
        <v>2676</v>
      </c>
      <c r="BX236" t="s">
        <v>895</v>
      </c>
      <c r="BY236" t="s">
        <v>2677</v>
      </c>
      <c r="CD236" t="s">
        <v>2678</v>
      </c>
      <c r="CG236" t="s">
        <v>2673</v>
      </c>
      <c r="CH236" t="s">
        <v>1495</v>
      </c>
      <c r="CI236" t="s">
        <v>2679</v>
      </c>
      <c r="CJ236" t="s">
        <v>2679</v>
      </c>
      <c r="CP236" t="s">
        <v>981</v>
      </c>
      <c r="CT236" t="s">
        <v>901</v>
      </c>
    </row>
    <row r="237" spans="1:98" x14ac:dyDescent="0.15">
      <c r="A237" t="s">
        <v>861</v>
      </c>
      <c r="B237" t="s">
        <v>862</v>
      </c>
      <c r="C237" t="s">
        <v>621</v>
      </c>
      <c r="D237" t="s">
        <v>621</v>
      </c>
      <c r="E237" t="s">
        <v>621</v>
      </c>
      <c r="F237" t="s">
        <v>863</v>
      </c>
      <c r="G237" t="s">
        <v>864</v>
      </c>
      <c r="H237" t="s">
        <v>863</v>
      </c>
      <c r="I237" t="s">
        <v>620</v>
      </c>
      <c r="J237" t="s">
        <v>2680</v>
      </c>
      <c r="K237" t="s">
        <v>1481</v>
      </c>
      <c r="L237" t="s">
        <v>868</v>
      </c>
      <c r="N237" t="s">
        <v>861</v>
      </c>
      <c r="O237">
        <v>0</v>
      </c>
      <c r="P237" t="s">
        <v>869</v>
      </c>
      <c r="Q237" t="s">
        <v>15</v>
      </c>
      <c r="R237" t="s">
        <v>870</v>
      </c>
      <c r="S237" t="s">
        <v>954</v>
      </c>
      <c r="T237" t="s">
        <v>2543</v>
      </c>
      <c r="U237" t="s">
        <v>2543</v>
      </c>
      <c r="V237" t="s">
        <v>981</v>
      </c>
      <c r="W237" t="s">
        <v>1267</v>
      </c>
      <c r="Y237" t="s">
        <v>874</v>
      </c>
      <c r="Z237" t="s">
        <v>861</v>
      </c>
      <c r="AA237" t="s">
        <v>958</v>
      </c>
      <c r="AB237" t="s">
        <v>2681</v>
      </c>
      <c r="AD237" t="s">
        <v>1484</v>
      </c>
      <c r="AJ237" t="s">
        <v>861</v>
      </c>
      <c r="AK237" t="s">
        <v>880</v>
      </c>
      <c r="AL237" t="s">
        <v>966</v>
      </c>
      <c r="AM237" t="s">
        <v>967</v>
      </c>
      <c r="AP237" t="s">
        <v>965</v>
      </c>
      <c r="AQ237" t="s">
        <v>965</v>
      </c>
      <c r="AS237" t="s">
        <v>965</v>
      </c>
      <c r="AT237" t="s">
        <v>965</v>
      </c>
      <c r="AU237" t="s">
        <v>886</v>
      </c>
      <c r="AW237" t="s">
        <v>969</v>
      </c>
      <c r="AX237" t="s">
        <v>969</v>
      </c>
      <c r="AZ237" t="s">
        <v>2546</v>
      </c>
      <c r="BA237" t="s">
        <v>1425</v>
      </c>
      <c r="BK237" t="s">
        <v>1134</v>
      </c>
      <c r="BL237">
        <v>500</v>
      </c>
      <c r="BM237">
        <v>65.62</v>
      </c>
      <c r="BN237">
        <v>9200</v>
      </c>
      <c r="BO237">
        <v>24139.3</v>
      </c>
      <c r="BP237">
        <v>24139.3</v>
      </c>
      <c r="BQ237">
        <v>26969.56</v>
      </c>
      <c r="BR237">
        <v>2830.26</v>
      </c>
      <c r="BS237" t="s">
        <v>892</v>
      </c>
      <c r="BT237">
        <v>2827</v>
      </c>
      <c r="BV237" t="s">
        <v>2675</v>
      </c>
      <c r="BW237" t="s">
        <v>2676</v>
      </c>
      <c r="BX237" t="s">
        <v>1530</v>
      </c>
      <c r="BY237" t="s">
        <v>2677</v>
      </c>
      <c r="CD237" t="s">
        <v>2682</v>
      </c>
      <c r="CG237" t="s">
        <v>2680</v>
      </c>
      <c r="CH237" t="s">
        <v>1495</v>
      </c>
      <c r="CI237" t="s">
        <v>2683</v>
      </c>
      <c r="CJ237" t="s">
        <v>2683</v>
      </c>
      <c r="CP237" t="s">
        <v>1275</v>
      </c>
      <c r="CT237" t="s">
        <v>901</v>
      </c>
    </row>
    <row r="238" spans="1:98" x14ac:dyDescent="0.15">
      <c r="A238" t="s">
        <v>861</v>
      </c>
      <c r="B238" t="s">
        <v>862</v>
      </c>
      <c r="C238" t="s">
        <v>619</v>
      </c>
      <c r="D238" t="s">
        <v>619</v>
      </c>
      <c r="E238" t="s">
        <v>619</v>
      </c>
      <c r="F238" t="s">
        <v>863</v>
      </c>
      <c r="G238" t="s">
        <v>864</v>
      </c>
      <c r="H238" t="s">
        <v>863</v>
      </c>
      <c r="I238" t="s">
        <v>618</v>
      </c>
      <c r="J238" t="s">
        <v>2684</v>
      </c>
      <c r="K238" t="s">
        <v>1481</v>
      </c>
      <c r="L238" t="s">
        <v>868</v>
      </c>
      <c r="N238" t="s">
        <v>861</v>
      </c>
      <c r="O238">
        <v>0</v>
      </c>
      <c r="P238" t="s">
        <v>869</v>
      </c>
      <c r="Q238" t="s">
        <v>15</v>
      </c>
      <c r="R238" t="s">
        <v>870</v>
      </c>
      <c r="S238" t="s">
        <v>954</v>
      </c>
      <c r="T238" t="s">
        <v>2543</v>
      </c>
      <c r="U238" t="s">
        <v>2543</v>
      </c>
      <c r="V238" t="s">
        <v>981</v>
      </c>
      <c r="W238" t="s">
        <v>1267</v>
      </c>
      <c r="Y238" t="s">
        <v>910</v>
      </c>
      <c r="Z238" t="s">
        <v>861</v>
      </c>
      <c r="AA238" t="s">
        <v>958</v>
      </c>
      <c r="AB238" t="s">
        <v>2685</v>
      </c>
      <c r="AJ238" t="s">
        <v>861</v>
      </c>
      <c r="AK238" t="s">
        <v>880</v>
      </c>
      <c r="AL238" t="s">
        <v>966</v>
      </c>
      <c r="AM238" t="s">
        <v>967</v>
      </c>
      <c r="AP238" t="s">
        <v>965</v>
      </c>
      <c r="AQ238" t="s">
        <v>965</v>
      </c>
      <c r="AS238" t="s">
        <v>965</v>
      </c>
      <c r="AT238" t="s">
        <v>965</v>
      </c>
      <c r="AU238" t="s">
        <v>886</v>
      </c>
      <c r="AW238" t="s">
        <v>969</v>
      </c>
      <c r="AX238" t="s">
        <v>889</v>
      </c>
      <c r="AZ238" t="s">
        <v>2546</v>
      </c>
      <c r="BA238" t="s">
        <v>1276</v>
      </c>
      <c r="BK238" t="s">
        <v>1134</v>
      </c>
      <c r="BL238">
        <v>1546</v>
      </c>
      <c r="BM238">
        <v>59.96</v>
      </c>
      <c r="BN238">
        <v>12681.8</v>
      </c>
      <c r="BO238">
        <v>37427</v>
      </c>
      <c r="BP238">
        <v>37427</v>
      </c>
      <c r="BQ238">
        <v>40258.870000000003</v>
      </c>
      <c r="BR238">
        <v>2831.87</v>
      </c>
      <c r="BS238" t="s">
        <v>892</v>
      </c>
      <c r="BT238">
        <v>2827</v>
      </c>
      <c r="BV238" t="s">
        <v>2675</v>
      </c>
      <c r="BW238" t="s">
        <v>2676</v>
      </c>
      <c r="BX238" t="s">
        <v>1530</v>
      </c>
      <c r="BY238" t="s">
        <v>2677</v>
      </c>
      <c r="CD238" t="s">
        <v>2682</v>
      </c>
      <c r="CG238" t="s">
        <v>2684</v>
      </c>
      <c r="CH238" t="s">
        <v>1495</v>
      </c>
      <c r="CI238" t="s">
        <v>2686</v>
      </c>
      <c r="CJ238" t="s">
        <v>2686</v>
      </c>
      <c r="CP238" t="s">
        <v>1275</v>
      </c>
      <c r="CS238" t="s">
        <v>1210</v>
      </c>
      <c r="CT238" t="s">
        <v>901</v>
      </c>
    </row>
    <row r="239" spans="1:98" x14ac:dyDescent="0.15">
      <c r="A239" t="s">
        <v>861</v>
      </c>
      <c r="B239" t="s">
        <v>862</v>
      </c>
      <c r="C239" t="s">
        <v>603</v>
      </c>
      <c r="D239" t="s">
        <v>603</v>
      </c>
      <c r="E239" t="s">
        <v>603</v>
      </c>
      <c r="F239" t="s">
        <v>863</v>
      </c>
      <c r="G239" t="s">
        <v>864</v>
      </c>
      <c r="H239" t="s">
        <v>863</v>
      </c>
      <c r="I239" t="s">
        <v>602</v>
      </c>
      <c r="J239" t="s">
        <v>2687</v>
      </c>
      <c r="K239" t="s">
        <v>1481</v>
      </c>
      <c r="L239" t="s">
        <v>868</v>
      </c>
      <c r="N239" t="s">
        <v>861</v>
      </c>
      <c r="O239">
        <v>0</v>
      </c>
      <c r="P239" t="s">
        <v>869</v>
      </c>
      <c r="Q239" t="s">
        <v>15</v>
      </c>
      <c r="R239" t="s">
        <v>870</v>
      </c>
      <c r="S239" t="s">
        <v>954</v>
      </c>
      <c r="T239" t="s">
        <v>2543</v>
      </c>
      <c r="U239" t="s">
        <v>2543</v>
      </c>
      <c r="V239" t="s">
        <v>981</v>
      </c>
      <c r="W239" t="s">
        <v>1267</v>
      </c>
      <c r="Y239" t="s">
        <v>874</v>
      </c>
      <c r="Z239" t="s">
        <v>861</v>
      </c>
      <c r="AA239" t="s">
        <v>958</v>
      </c>
      <c r="AB239" t="s">
        <v>2688</v>
      </c>
      <c r="AJ239" t="s">
        <v>861</v>
      </c>
      <c r="AK239" t="s">
        <v>880</v>
      </c>
      <c r="AL239" t="s">
        <v>966</v>
      </c>
      <c r="AM239" t="s">
        <v>967</v>
      </c>
      <c r="AP239" t="s">
        <v>965</v>
      </c>
      <c r="AQ239" t="s">
        <v>965</v>
      </c>
      <c r="AS239" t="s">
        <v>965</v>
      </c>
      <c r="AT239" t="s">
        <v>965</v>
      </c>
      <c r="AU239" t="s">
        <v>886</v>
      </c>
      <c r="AW239" t="s">
        <v>969</v>
      </c>
      <c r="AX239" t="s">
        <v>889</v>
      </c>
      <c r="AZ239" t="s">
        <v>2546</v>
      </c>
      <c r="BA239" t="s">
        <v>1276</v>
      </c>
      <c r="BK239" t="s">
        <v>1134</v>
      </c>
      <c r="BL239">
        <v>471</v>
      </c>
      <c r="BM239">
        <v>69.63</v>
      </c>
      <c r="BN239">
        <v>10214</v>
      </c>
      <c r="BO239">
        <v>20982.9</v>
      </c>
      <c r="BP239">
        <v>20982.9</v>
      </c>
      <c r="BQ239">
        <v>23812.77</v>
      </c>
      <c r="BR239">
        <v>2829.88</v>
      </c>
      <c r="BS239" t="s">
        <v>892</v>
      </c>
      <c r="BT239">
        <v>2827</v>
      </c>
      <c r="BV239" t="s">
        <v>2675</v>
      </c>
      <c r="BW239" t="s">
        <v>2676</v>
      </c>
      <c r="BX239" t="s">
        <v>895</v>
      </c>
      <c r="BY239" t="s">
        <v>2314</v>
      </c>
      <c r="CD239" t="s">
        <v>2689</v>
      </c>
      <c r="CG239" t="s">
        <v>2687</v>
      </c>
      <c r="CH239" t="s">
        <v>1495</v>
      </c>
      <c r="CI239" t="s">
        <v>2690</v>
      </c>
      <c r="CJ239" t="s">
        <v>2690</v>
      </c>
      <c r="CP239" t="s">
        <v>1275</v>
      </c>
      <c r="CT239" t="s">
        <v>901</v>
      </c>
    </row>
    <row r="240" spans="1:98" x14ac:dyDescent="0.15">
      <c r="A240" t="s">
        <v>861</v>
      </c>
      <c r="B240" t="s">
        <v>862</v>
      </c>
      <c r="C240" t="s">
        <v>587</v>
      </c>
      <c r="D240" t="s">
        <v>587</v>
      </c>
      <c r="E240" t="s">
        <v>587</v>
      </c>
      <c r="F240" t="s">
        <v>863</v>
      </c>
      <c r="G240" t="s">
        <v>864</v>
      </c>
      <c r="H240" t="s">
        <v>916</v>
      </c>
      <c r="I240" t="s">
        <v>586</v>
      </c>
      <c r="J240" t="s">
        <v>2691</v>
      </c>
      <c r="K240" t="s">
        <v>1481</v>
      </c>
      <c r="L240" t="s">
        <v>868</v>
      </c>
      <c r="N240" t="s">
        <v>861</v>
      </c>
      <c r="O240">
        <v>0</v>
      </c>
      <c r="P240" t="s">
        <v>869</v>
      </c>
      <c r="Q240" t="s">
        <v>15</v>
      </c>
      <c r="R240" t="s">
        <v>870</v>
      </c>
      <c r="S240" t="s">
        <v>954</v>
      </c>
      <c r="T240" t="s">
        <v>2632</v>
      </c>
      <c r="U240" t="s">
        <v>2632</v>
      </c>
      <c r="V240" t="s">
        <v>981</v>
      </c>
      <c r="W240" t="s">
        <v>1526</v>
      </c>
      <c r="Y240" t="s">
        <v>874</v>
      </c>
      <c r="Z240" t="s">
        <v>861</v>
      </c>
      <c r="AA240" t="s">
        <v>922</v>
      </c>
      <c r="AD240" t="s">
        <v>923</v>
      </c>
      <c r="AE240" t="s">
        <v>2692</v>
      </c>
      <c r="AJ240" t="s">
        <v>861</v>
      </c>
      <c r="AK240" t="s">
        <v>880</v>
      </c>
      <c r="AP240" t="s">
        <v>1276</v>
      </c>
      <c r="AZ240" t="s">
        <v>2546</v>
      </c>
      <c r="BK240" t="s">
        <v>1134</v>
      </c>
      <c r="BL240">
        <v>375</v>
      </c>
      <c r="BM240">
        <v>65.66</v>
      </c>
      <c r="BN240">
        <v>7247.5</v>
      </c>
      <c r="BO240">
        <v>17111.169999999998</v>
      </c>
      <c r="BP240">
        <v>17111.169999999998</v>
      </c>
      <c r="BQ240">
        <v>19940.580000000002</v>
      </c>
      <c r="BR240">
        <v>2829.41</v>
      </c>
      <c r="BS240" t="s">
        <v>892</v>
      </c>
      <c r="BT240">
        <v>2827</v>
      </c>
      <c r="BV240" t="s">
        <v>2675</v>
      </c>
      <c r="BW240" t="s">
        <v>2676</v>
      </c>
      <c r="BX240" t="s">
        <v>895</v>
      </c>
      <c r="BY240" t="s">
        <v>2693</v>
      </c>
      <c r="CD240" t="s">
        <v>2694</v>
      </c>
      <c r="CG240" t="s">
        <v>2691</v>
      </c>
      <c r="CH240" t="s">
        <v>1495</v>
      </c>
      <c r="CI240" t="s">
        <v>2695</v>
      </c>
      <c r="CJ240" t="s">
        <v>2695</v>
      </c>
      <c r="CP240" t="s">
        <v>981</v>
      </c>
      <c r="CT240" t="s">
        <v>901</v>
      </c>
    </row>
    <row r="241" spans="1:98" x14ac:dyDescent="0.15">
      <c r="A241" t="s">
        <v>861</v>
      </c>
      <c r="B241" t="s">
        <v>862</v>
      </c>
      <c r="C241" t="s">
        <v>513</v>
      </c>
      <c r="D241" t="s">
        <v>513</v>
      </c>
      <c r="E241" t="s">
        <v>513</v>
      </c>
      <c r="F241" t="s">
        <v>863</v>
      </c>
      <c r="G241" t="s">
        <v>864</v>
      </c>
      <c r="H241" t="s">
        <v>916</v>
      </c>
      <c r="I241" t="s">
        <v>512</v>
      </c>
      <c r="J241" t="s">
        <v>2696</v>
      </c>
      <c r="K241" t="s">
        <v>1481</v>
      </c>
      <c r="L241" t="s">
        <v>868</v>
      </c>
      <c r="N241" t="s">
        <v>861</v>
      </c>
      <c r="O241">
        <v>0</v>
      </c>
      <c r="P241" t="s">
        <v>869</v>
      </c>
      <c r="Q241" t="s">
        <v>15</v>
      </c>
      <c r="R241" t="s">
        <v>870</v>
      </c>
      <c r="S241" t="s">
        <v>954</v>
      </c>
      <c r="T241" t="s">
        <v>2632</v>
      </c>
      <c r="U241" t="s">
        <v>2632</v>
      </c>
      <c r="V241" t="s">
        <v>981</v>
      </c>
      <c r="W241" t="s">
        <v>1526</v>
      </c>
      <c r="Y241" t="s">
        <v>874</v>
      </c>
      <c r="Z241" t="s">
        <v>861</v>
      </c>
      <c r="AA241" t="s">
        <v>922</v>
      </c>
      <c r="AD241" t="s">
        <v>923</v>
      </c>
      <c r="AE241" t="s">
        <v>2697</v>
      </c>
      <c r="AJ241" t="s">
        <v>861</v>
      </c>
      <c r="AK241" t="s">
        <v>880</v>
      </c>
      <c r="AP241" t="s">
        <v>1276</v>
      </c>
      <c r="AZ241" t="s">
        <v>2546</v>
      </c>
      <c r="BK241" t="s">
        <v>1134</v>
      </c>
      <c r="BL241">
        <v>412</v>
      </c>
      <c r="BM241">
        <v>63.51</v>
      </c>
      <c r="BN241">
        <v>5804.9</v>
      </c>
      <c r="BO241">
        <v>16314.98</v>
      </c>
      <c r="BP241">
        <v>16314.98</v>
      </c>
      <c r="BQ241">
        <v>19144.3</v>
      </c>
      <c r="BR241">
        <v>2829.32</v>
      </c>
      <c r="BS241" t="s">
        <v>892</v>
      </c>
      <c r="BT241">
        <v>2827</v>
      </c>
      <c r="BV241" t="s">
        <v>2675</v>
      </c>
      <c r="BW241" t="s">
        <v>2676</v>
      </c>
      <c r="BX241" t="s">
        <v>895</v>
      </c>
      <c r="BY241" t="s">
        <v>2693</v>
      </c>
      <c r="CD241" t="s">
        <v>2698</v>
      </c>
      <c r="CG241" t="s">
        <v>2696</v>
      </c>
      <c r="CH241" t="s">
        <v>1495</v>
      </c>
      <c r="CI241" t="s">
        <v>2699</v>
      </c>
      <c r="CJ241" t="s">
        <v>2699</v>
      </c>
      <c r="CP241" t="s">
        <v>981</v>
      </c>
      <c r="CT241" t="s">
        <v>901</v>
      </c>
    </row>
    <row r="242" spans="1:98" x14ac:dyDescent="0.15">
      <c r="A242" t="s">
        <v>861</v>
      </c>
      <c r="B242" t="s">
        <v>862</v>
      </c>
      <c r="C242" t="s">
        <v>495</v>
      </c>
      <c r="D242" t="s">
        <v>495</v>
      </c>
      <c r="E242" t="s">
        <v>495</v>
      </c>
      <c r="F242" t="s">
        <v>863</v>
      </c>
      <c r="G242" t="s">
        <v>864</v>
      </c>
      <c r="H242" t="s">
        <v>916</v>
      </c>
      <c r="I242" t="s">
        <v>494</v>
      </c>
      <c r="J242" t="s">
        <v>2700</v>
      </c>
      <c r="K242" t="s">
        <v>1481</v>
      </c>
      <c r="L242" t="s">
        <v>868</v>
      </c>
      <c r="N242" t="s">
        <v>861</v>
      </c>
      <c r="O242">
        <v>0</v>
      </c>
      <c r="P242" t="s">
        <v>869</v>
      </c>
      <c r="Q242" t="s">
        <v>15</v>
      </c>
      <c r="R242" t="s">
        <v>870</v>
      </c>
      <c r="S242" t="s">
        <v>954</v>
      </c>
      <c r="T242" t="s">
        <v>2632</v>
      </c>
      <c r="U242" t="s">
        <v>2632</v>
      </c>
      <c r="V242" t="s">
        <v>981</v>
      </c>
      <c r="W242" t="s">
        <v>1526</v>
      </c>
      <c r="Y242" t="s">
        <v>874</v>
      </c>
      <c r="Z242" t="s">
        <v>861</v>
      </c>
      <c r="AA242" t="s">
        <v>922</v>
      </c>
      <c r="AD242" t="s">
        <v>923</v>
      </c>
      <c r="AE242" t="s">
        <v>2701</v>
      </c>
      <c r="AJ242" t="s">
        <v>861</v>
      </c>
      <c r="AK242" t="s">
        <v>880</v>
      </c>
      <c r="AP242" t="s">
        <v>1276</v>
      </c>
      <c r="AZ242" t="s">
        <v>2546</v>
      </c>
      <c r="BK242" t="s">
        <v>1134</v>
      </c>
      <c r="BL242">
        <v>560</v>
      </c>
      <c r="BM242">
        <v>63.49</v>
      </c>
      <c r="BN242">
        <v>7137.9</v>
      </c>
      <c r="BO242">
        <v>13803.77</v>
      </c>
      <c r="BP242">
        <v>13803.77</v>
      </c>
      <c r="BQ242">
        <v>16632.78</v>
      </c>
      <c r="BR242">
        <v>2829.01</v>
      </c>
      <c r="BS242" t="s">
        <v>892</v>
      </c>
      <c r="BT242">
        <v>2827</v>
      </c>
      <c r="BV242" t="s">
        <v>2675</v>
      </c>
      <c r="BW242" t="s">
        <v>2676</v>
      </c>
      <c r="BX242" t="s">
        <v>895</v>
      </c>
      <c r="BY242" t="s">
        <v>2693</v>
      </c>
      <c r="CD242" t="s">
        <v>2698</v>
      </c>
      <c r="CG242" t="s">
        <v>2700</v>
      </c>
      <c r="CH242" t="s">
        <v>1495</v>
      </c>
      <c r="CI242" t="s">
        <v>2702</v>
      </c>
      <c r="CJ242" t="s">
        <v>2702</v>
      </c>
      <c r="CP242" t="s">
        <v>981</v>
      </c>
      <c r="CT242" t="s">
        <v>901</v>
      </c>
    </row>
    <row r="243" spans="1:98" x14ac:dyDescent="0.15">
      <c r="A243" t="s">
        <v>861</v>
      </c>
      <c r="B243" t="s">
        <v>862</v>
      </c>
      <c r="C243" t="s">
        <v>579</v>
      </c>
      <c r="D243" t="s">
        <v>579</v>
      </c>
      <c r="E243" t="s">
        <v>579</v>
      </c>
      <c r="F243" t="s">
        <v>863</v>
      </c>
      <c r="G243" t="s">
        <v>864</v>
      </c>
      <c r="H243" t="s">
        <v>916</v>
      </c>
      <c r="I243" t="s">
        <v>578</v>
      </c>
      <c r="J243" t="s">
        <v>2703</v>
      </c>
      <c r="K243" t="s">
        <v>1481</v>
      </c>
      <c r="L243" t="s">
        <v>868</v>
      </c>
      <c r="N243" t="s">
        <v>861</v>
      </c>
      <c r="O243">
        <v>0</v>
      </c>
      <c r="P243" t="s">
        <v>869</v>
      </c>
      <c r="Q243" t="s">
        <v>15</v>
      </c>
      <c r="R243" t="s">
        <v>870</v>
      </c>
      <c r="S243" t="s">
        <v>954</v>
      </c>
      <c r="T243" t="s">
        <v>2632</v>
      </c>
      <c r="U243" t="s">
        <v>2632</v>
      </c>
      <c r="V243" t="s">
        <v>981</v>
      </c>
      <c r="W243" t="s">
        <v>1526</v>
      </c>
      <c r="Y243" t="s">
        <v>874</v>
      </c>
      <c r="Z243" t="s">
        <v>861</v>
      </c>
      <c r="AA243" t="s">
        <v>922</v>
      </c>
      <c r="AD243" t="s">
        <v>923</v>
      </c>
      <c r="AE243" t="s">
        <v>2704</v>
      </c>
      <c r="AJ243" t="s">
        <v>861</v>
      </c>
      <c r="AK243" t="s">
        <v>880</v>
      </c>
      <c r="AP243" t="s">
        <v>1276</v>
      </c>
      <c r="AZ243" t="s">
        <v>2546</v>
      </c>
      <c r="BK243" t="s">
        <v>1134</v>
      </c>
      <c r="BL243">
        <v>673</v>
      </c>
      <c r="BM243">
        <v>75.290000000000006</v>
      </c>
      <c r="BN243">
        <v>7337</v>
      </c>
      <c r="BO243">
        <v>14159.37</v>
      </c>
      <c r="BP243">
        <v>14159.37</v>
      </c>
      <c r="BQ243">
        <v>16988.439999999999</v>
      </c>
      <c r="BR243">
        <v>2829.06</v>
      </c>
      <c r="BS243" t="s">
        <v>892</v>
      </c>
      <c r="BT243">
        <v>2827</v>
      </c>
      <c r="BV243" t="s">
        <v>2675</v>
      </c>
      <c r="BW243" t="s">
        <v>2676</v>
      </c>
      <c r="BX243" t="s">
        <v>895</v>
      </c>
      <c r="BY243" t="s">
        <v>2705</v>
      </c>
      <c r="CD243" t="s">
        <v>2706</v>
      </c>
      <c r="CG243" t="s">
        <v>2703</v>
      </c>
      <c r="CH243" t="s">
        <v>1495</v>
      </c>
      <c r="CI243" t="s">
        <v>2707</v>
      </c>
      <c r="CJ243" t="s">
        <v>2707</v>
      </c>
      <c r="CP243" t="s">
        <v>981</v>
      </c>
      <c r="CT243" t="s">
        <v>901</v>
      </c>
    </row>
    <row r="244" spans="1:98" x14ac:dyDescent="0.15">
      <c r="A244" t="s">
        <v>861</v>
      </c>
      <c r="B244" t="s">
        <v>862</v>
      </c>
      <c r="C244" t="s">
        <v>625</v>
      </c>
      <c r="D244" t="s">
        <v>625</v>
      </c>
      <c r="E244" t="s">
        <v>625</v>
      </c>
      <c r="F244" t="s">
        <v>863</v>
      </c>
      <c r="G244" t="s">
        <v>864</v>
      </c>
      <c r="H244" t="s">
        <v>863</v>
      </c>
      <c r="I244" t="s">
        <v>624</v>
      </c>
      <c r="J244" t="s">
        <v>2708</v>
      </c>
      <c r="K244" t="s">
        <v>1481</v>
      </c>
      <c r="L244" t="s">
        <v>868</v>
      </c>
      <c r="N244" t="s">
        <v>861</v>
      </c>
      <c r="O244">
        <v>0</v>
      </c>
      <c r="P244" t="s">
        <v>869</v>
      </c>
      <c r="Q244" t="s">
        <v>15</v>
      </c>
      <c r="R244" t="s">
        <v>870</v>
      </c>
      <c r="S244" t="s">
        <v>954</v>
      </c>
      <c r="T244" t="s">
        <v>2543</v>
      </c>
      <c r="U244" t="s">
        <v>2543</v>
      </c>
      <c r="V244" t="s">
        <v>981</v>
      </c>
      <c r="W244" t="s">
        <v>1267</v>
      </c>
      <c r="Y244" t="s">
        <v>874</v>
      </c>
      <c r="Z244" t="s">
        <v>861</v>
      </c>
      <c r="AA244" t="s">
        <v>958</v>
      </c>
      <c r="AB244" t="s">
        <v>2709</v>
      </c>
      <c r="AJ244" t="s">
        <v>861</v>
      </c>
      <c r="AK244" t="s">
        <v>880</v>
      </c>
      <c r="AL244" t="s">
        <v>966</v>
      </c>
      <c r="AM244" t="s">
        <v>967</v>
      </c>
      <c r="AP244" t="s">
        <v>965</v>
      </c>
      <c r="AQ244" t="s">
        <v>965</v>
      </c>
      <c r="AS244" t="s">
        <v>965</v>
      </c>
      <c r="AT244" t="s">
        <v>965</v>
      </c>
      <c r="AU244" t="s">
        <v>886</v>
      </c>
      <c r="AW244" t="s">
        <v>969</v>
      </c>
      <c r="AX244" t="s">
        <v>889</v>
      </c>
      <c r="AZ244" t="s">
        <v>2546</v>
      </c>
      <c r="BA244" t="s">
        <v>1276</v>
      </c>
      <c r="BK244" t="s">
        <v>1134</v>
      </c>
      <c r="BL244">
        <v>867</v>
      </c>
      <c r="BM244">
        <v>65.819999999999993</v>
      </c>
      <c r="BN244">
        <v>9586</v>
      </c>
      <c r="BO244">
        <v>18975.060000000001</v>
      </c>
      <c r="BP244">
        <v>18975.060000000001</v>
      </c>
      <c r="BQ244">
        <v>21804.71</v>
      </c>
      <c r="BR244">
        <v>2829.64</v>
      </c>
      <c r="BS244" t="s">
        <v>892</v>
      </c>
      <c r="BT244">
        <v>2827</v>
      </c>
      <c r="BV244" t="s">
        <v>2675</v>
      </c>
      <c r="BW244" t="s">
        <v>2676</v>
      </c>
      <c r="BX244" t="s">
        <v>895</v>
      </c>
      <c r="BY244" t="s">
        <v>2710</v>
      </c>
      <c r="CD244" t="s">
        <v>2711</v>
      </c>
      <c r="CG244" t="s">
        <v>2708</v>
      </c>
      <c r="CH244" t="s">
        <v>1495</v>
      </c>
      <c r="CI244" t="s">
        <v>2712</v>
      </c>
      <c r="CJ244" t="s">
        <v>2712</v>
      </c>
      <c r="CP244" t="s">
        <v>1275</v>
      </c>
      <c r="CT244" t="s">
        <v>901</v>
      </c>
    </row>
    <row r="245" spans="1:98" x14ac:dyDescent="0.15">
      <c r="A245" t="s">
        <v>861</v>
      </c>
      <c r="B245" t="s">
        <v>862</v>
      </c>
      <c r="C245" t="s">
        <v>663</v>
      </c>
      <c r="D245" t="s">
        <v>663</v>
      </c>
      <c r="E245" t="s">
        <v>663</v>
      </c>
      <c r="F245" t="s">
        <v>863</v>
      </c>
      <c r="G245" t="s">
        <v>864</v>
      </c>
      <c r="H245" t="s">
        <v>863</v>
      </c>
      <c r="I245" t="s">
        <v>662</v>
      </c>
      <c r="J245" t="s">
        <v>2713</v>
      </c>
      <c r="K245" t="s">
        <v>1481</v>
      </c>
      <c r="L245" t="s">
        <v>868</v>
      </c>
      <c r="N245" t="s">
        <v>861</v>
      </c>
      <c r="O245">
        <v>0</v>
      </c>
      <c r="P245" t="s">
        <v>869</v>
      </c>
      <c r="Q245" t="s">
        <v>15</v>
      </c>
      <c r="R245" t="s">
        <v>870</v>
      </c>
      <c r="S245" t="s">
        <v>954</v>
      </c>
      <c r="T245" t="s">
        <v>2543</v>
      </c>
      <c r="U245" t="s">
        <v>2543</v>
      </c>
      <c r="V245" t="s">
        <v>981</v>
      </c>
      <c r="W245" t="s">
        <v>1267</v>
      </c>
      <c r="Y245" t="s">
        <v>874</v>
      </c>
      <c r="Z245" t="s">
        <v>861</v>
      </c>
      <c r="AA245" t="s">
        <v>958</v>
      </c>
      <c r="AB245" t="s">
        <v>2714</v>
      </c>
      <c r="AJ245" t="s">
        <v>861</v>
      </c>
      <c r="AK245" t="s">
        <v>880</v>
      </c>
      <c r="AL245" t="s">
        <v>966</v>
      </c>
      <c r="AM245" t="s">
        <v>967</v>
      </c>
      <c r="AP245" t="s">
        <v>965</v>
      </c>
      <c r="AQ245" t="s">
        <v>965</v>
      </c>
      <c r="AS245" t="s">
        <v>965</v>
      </c>
      <c r="AT245" t="s">
        <v>965</v>
      </c>
      <c r="AU245" t="s">
        <v>886</v>
      </c>
      <c r="AW245" t="s">
        <v>969</v>
      </c>
      <c r="AX245" t="s">
        <v>889</v>
      </c>
      <c r="AZ245" t="s">
        <v>2546</v>
      </c>
      <c r="BA245" t="s">
        <v>1276</v>
      </c>
      <c r="BK245" t="s">
        <v>1134</v>
      </c>
      <c r="BL245">
        <v>752</v>
      </c>
      <c r="BM245">
        <v>63.6</v>
      </c>
      <c r="BN245">
        <v>14136.7</v>
      </c>
      <c r="BO245">
        <v>38976.519999999997</v>
      </c>
      <c r="BP245">
        <v>38976.519999999997</v>
      </c>
      <c r="BQ245">
        <v>41808.589999999997</v>
      </c>
      <c r="BR245">
        <v>2832.06</v>
      </c>
      <c r="BS245" t="s">
        <v>892</v>
      </c>
      <c r="BT245">
        <v>2827</v>
      </c>
      <c r="BV245" t="s">
        <v>2675</v>
      </c>
      <c r="BW245" t="s">
        <v>2676</v>
      </c>
      <c r="BX245" t="s">
        <v>895</v>
      </c>
      <c r="BY245" t="s">
        <v>2314</v>
      </c>
      <c r="CD245" t="s">
        <v>2689</v>
      </c>
      <c r="CG245" t="s">
        <v>2713</v>
      </c>
      <c r="CH245" t="s">
        <v>1495</v>
      </c>
      <c r="CI245" t="s">
        <v>2715</v>
      </c>
      <c r="CJ245" t="s">
        <v>2715</v>
      </c>
      <c r="CP245" t="s">
        <v>1275</v>
      </c>
      <c r="CT245" t="s">
        <v>901</v>
      </c>
    </row>
    <row r="246" spans="1:98" x14ac:dyDescent="0.15">
      <c r="A246" t="s">
        <v>861</v>
      </c>
      <c r="B246" t="s">
        <v>862</v>
      </c>
      <c r="C246" t="s">
        <v>493</v>
      </c>
      <c r="D246" t="s">
        <v>493</v>
      </c>
      <c r="E246" t="s">
        <v>493</v>
      </c>
      <c r="F246" t="s">
        <v>863</v>
      </c>
      <c r="G246" t="s">
        <v>864</v>
      </c>
      <c r="H246" t="s">
        <v>916</v>
      </c>
      <c r="I246" t="s">
        <v>491</v>
      </c>
      <c r="J246" t="s">
        <v>2716</v>
      </c>
      <c r="K246" t="s">
        <v>1481</v>
      </c>
      <c r="L246" t="s">
        <v>868</v>
      </c>
      <c r="N246" t="s">
        <v>861</v>
      </c>
      <c r="O246">
        <v>0</v>
      </c>
      <c r="P246" t="s">
        <v>869</v>
      </c>
      <c r="Q246" t="s">
        <v>15</v>
      </c>
      <c r="R246" t="s">
        <v>870</v>
      </c>
      <c r="S246" t="s">
        <v>954</v>
      </c>
      <c r="T246" t="s">
        <v>2632</v>
      </c>
      <c r="U246" t="s">
        <v>2632</v>
      </c>
      <c r="V246" t="s">
        <v>981</v>
      </c>
      <c r="W246" t="s">
        <v>1526</v>
      </c>
      <c r="Y246" t="s">
        <v>874</v>
      </c>
      <c r="Z246" t="s">
        <v>861</v>
      </c>
      <c r="AA246" t="s">
        <v>922</v>
      </c>
      <c r="AD246" t="s">
        <v>923</v>
      </c>
      <c r="AE246" t="s">
        <v>2717</v>
      </c>
      <c r="AJ246" t="s">
        <v>861</v>
      </c>
      <c r="AK246" t="s">
        <v>880</v>
      </c>
      <c r="AP246" t="s">
        <v>1276</v>
      </c>
      <c r="AZ246" t="s">
        <v>2546</v>
      </c>
      <c r="BK246" t="s">
        <v>1134</v>
      </c>
      <c r="BL246">
        <v>763</v>
      </c>
      <c r="BM246">
        <v>65.86</v>
      </c>
      <c r="BN246">
        <v>7874.6</v>
      </c>
      <c r="BO246">
        <v>18972.87</v>
      </c>
      <c r="BP246">
        <v>18972.87</v>
      </c>
      <c r="BQ246">
        <v>21802.51</v>
      </c>
      <c r="BR246">
        <v>2829.64</v>
      </c>
      <c r="BS246" t="s">
        <v>892</v>
      </c>
      <c r="BT246">
        <v>2827</v>
      </c>
      <c r="BV246" t="s">
        <v>2675</v>
      </c>
      <c r="BW246" t="s">
        <v>2676</v>
      </c>
      <c r="BX246" t="s">
        <v>895</v>
      </c>
      <c r="BY246" t="s">
        <v>2710</v>
      </c>
      <c r="CD246" t="s">
        <v>2711</v>
      </c>
      <c r="CG246" t="s">
        <v>2716</v>
      </c>
      <c r="CH246" t="s">
        <v>1495</v>
      </c>
      <c r="CI246" t="s">
        <v>2718</v>
      </c>
      <c r="CJ246" t="s">
        <v>2718</v>
      </c>
      <c r="CP246" t="s">
        <v>981</v>
      </c>
      <c r="CT246" t="s">
        <v>901</v>
      </c>
    </row>
    <row r="247" spans="1:98" x14ac:dyDescent="0.15">
      <c r="A247" t="s">
        <v>861</v>
      </c>
      <c r="B247" t="s">
        <v>862</v>
      </c>
      <c r="C247" t="s">
        <v>538</v>
      </c>
      <c r="D247" t="s">
        <v>538</v>
      </c>
      <c r="E247" t="s">
        <v>538</v>
      </c>
      <c r="F247" t="s">
        <v>863</v>
      </c>
      <c r="G247" t="s">
        <v>864</v>
      </c>
      <c r="H247" t="s">
        <v>916</v>
      </c>
      <c r="I247" t="s">
        <v>537</v>
      </c>
      <c r="J247" t="s">
        <v>2719</v>
      </c>
      <c r="K247" t="s">
        <v>867</v>
      </c>
      <c r="L247" t="s">
        <v>868</v>
      </c>
      <c r="N247" t="s">
        <v>861</v>
      </c>
      <c r="O247">
        <v>0</v>
      </c>
      <c r="P247" t="s">
        <v>1159</v>
      </c>
      <c r="Q247" t="s">
        <v>11</v>
      </c>
      <c r="R247" t="s">
        <v>919</v>
      </c>
      <c r="S247" t="s">
        <v>871</v>
      </c>
      <c r="T247" t="s">
        <v>2720</v>
      </c>
      <c r="U247" t="s">
        <v>2720</v>
      </c>
      <c r="V247" t="s">
        <v>1394</v>
      </c>
      <c r="Y247" t="s">
        <v>874</v>
      </c>
      <c r="Z247" t="s">
        <v>861</v>
      </c>
      <c r="AA247" t="s">
        <v>958</v>
      </c>
      <c r="AB247" t="s">
        <v>2721</v>
      </c>
      <c r="AD247" t="s">
        <v>923</v>
      </c>
      <c r="AE247" t="s">
        <v>2722</v>
      </c>
      <c r="AJ247" t="s">
        <v>861</v>
      </c>
      <c r="AK247" t="s">
        <v>880</v>
      </c>
      <c r="AL247" t="s">
        <v>881</v>
      </c>
      <c r="AM247" t="s">
        <v>882</v>
      </c>
      <c r="AP247" t="s">
        <v>965</v>
      </c>
      <c r="AQ247" t="s">
        <v>2723</v>
      </c>
      <c r="AS247" t="s">
        <v>2723</v>
      </c>
      <c r="AT247" t="s">
        <v>2723</v>
      </c>
      <c r="AU247" t="s">
        <v>886</v>
      </c>
      <c r="AW247" t="s">
        <v>1014</v>
      </c>
      <c r="AX247" t="s">
        <v>1016</v>
      </c>
      <c r="AZ247" t="s">
        <v>1527</v>
      </c>
      <c r="BA247" t="s">
        <v>1018</v>
      </c>
      <c r="BK247" t="s">
        <v>891</v>
      </c>
      <c r="BL247">
        <v>371</v>
      </c>
      <c r="BM247">
        <v>70.53</v>
      </c>
      <c r="BN247">
        <v>9964.2000000000007</v>
      </c>
      <c r="BO247">
        <v>26179.32</v>
      </c>
      <c r="BP247">
        <v>26179.32</v>
      </c>
      <c r="BQ247">
        <v>26179.32</v>
      </c>
      <c r="BR247">
        <v>0</v>
      </c>
      <c r="BS247" t="s">
        <v>892</v>
      </c>
      <c r="BT247">
        <v>2639</v>
      </c>
      <c r="BV247" t="s">
        <v>1401</v>
      </c>
      <c r="BW247" t="s">
        <v>1402</v>
      </c>
      <c r="BX247" t="s">
        <v>895</v>
      </c>
      <c r="BY247" t="s">
        <v>2724</v>
      </c>
      <c r="CD247" t="s">
        <v>2725</v>
      </c>
      <c r="CG247" t="s">
        <v>2719</v>
      </c>
      <c r="CH247" t="s">
        <v>898</v>
      </c>
      <c r="CI247" t="s">
        <v>2726</v>
      </c>
      <c r="CJ247" t="s">
        <v>2726</v>
      </c>
      <c r="CP247" t="s">
        <v>2380</v>
      </c>
      <c r="CT247" t="s">
        <v>901</v>
      </c>
    </row>
    <row r="248" spans="1:98" x14ac:dyDescent="0.15">
      <c r="A248" t="s">
        <v>861</v>
      </c>
      <c r="B248" t="s">
        <v>862</v>
      </c>
      <c r="C248" t="s">
        <v>577</v>
      </c>
      <c r="D248" t="s">
        <v>577</v>
      </c>
      <c r="E248" t="s">
        <v>577</v>
      </c>
      <c r="F248" t="s">
        <v>863</v>
      </c>
      <c r="G248" t="s">
        <v>864</v>
      </c>
      <c r="H248" t="s">
        <v>916</v>
      </c>
      <c r="I248" t="s">
        <v>576</v>
      </c>
      <c r="J248" t="s">
        <v>2727</v>
      </c>
      <c r="K248" t="s">
        <v>867</v>
      </c>
      <c r="L248" t="s">
        <v>868</v>
      </c>
      <c r="N248" t="s">
        <v>861</v>
      </c>
      <c r="O248">
        <v>0</v>
      </c>
      <c r="P248" t="s">
        <v>1159</v>
      </c>
      <c r="Q248" t="s">
        <v>11</v>
      </c>
      <c r="R248" t="s">
        <v>919</v>
      </c>
      <c r="S248" t="s">
        <v>871</v>
      </c>
      <c r="T248" t="s">
        <v>2728</v>
      </c>
      <c r="U248" t="s">
        <v>2728</v>
      </c>
      <c r="V248" t="s">
        <v>1371</v>
      </c>
      <c r="Y248" t="s">
        <v>874</v>
      </c>
      <c r="Z248" t="s">
        <v>861</v>
      </c>
      <c r="AA248" t="s">
        <v>922</v>
      </c>
      <c r="AD248" t="s">
        <v>923</v>
      </c>
      <c r="AE248" t="s">
        <v>2729</v>
      </c>
      <c r="AJ248" t="s">
        <v>861</v>
      </c>
      <c r="AK248" t="s">
        <v>880</v>
      </c>
      <c r="AL248" t="s">
        <v>881</v>
      </c>
      <c r="AM248" t="s">
        <v>882</v>
      </c>
      <c r="AP248" t="s">
        <v>987</v>
      </c>
      <c r="AQ248" t="s">
        <v>1200</v>
      </c>
      <c r="AS248" t="s">
        <v>1200</v>
      </c>
      <c r="AT248" t="s">
        <v>1200</v>
      </c>
      <c r="AU248" t="s">
        <v>886</v>
      </c>
      <c r="AW248" t="s">
        <v>1201</v>
      </c>
      <c r="AX248" t="s">
        <v>1202</v>
      </c>
      <c r="AZ248" t="s">
        <v>2730</v>
      </c>
      <c r="BA248" t="s">
        <v>1204</v>
      </c>
      <c r="BK248" t="s">
        <v>891</v>
      </c>
      <c r="BL248">
        <v>535</v>
      </c>
      <c r="BM248">
        <v>67.430000000000007</v>
      </c>
      <c r="BN248">
        <v>7153.5</v>
      </c>
      <c r="BO248">
        <v>17813.7</v>
      </c>
      <c r="BP248">
        <v>17813.7</v>
      </c>
      <c r="BQ248">
        <v>17813.7</v>
      </c>
      <c r="BR248">
        <v>0</v>
      </c>
      <c r="BS248" t="s">
        <v>892</v>
      </c>
      <c r="BT248">
        <v>2639</v>
      </c>
      <c r="BV248" t="s">
        <v>1174</v>
      </c>
      <c r="BW248" t="s">
        <v>1374</v>
      </c>
      <c r="BX248" t="s">
        <v>895</v>
      </c>
      <c r="BY248" t="s">
        <v>1375</v>
      </c>
      <c r="CD248" t="s">
        <v>1376</v>
      </c>
      <c r="CG248" t="s">
        <v>2727</v>
      </c>
      <c r="CH248" t="s">
        <v>898</v>
      </c>
      <c r="CI248" t="s">
        <v>2731</v>
      </c>
      <c r="CJ248" t="s">
        <v>2731</v>
      </c>
      <c r="CP248" t="s">
        <v>1131</v>
      </c>
      <c r="CT248" t="s">
        <v>901</v>
      </c>
    </row>
    <row r="249" spans="1:98" x14ac:dyDescent="0.15">
      <c r="A249" t="s">
        <v>861</v>
      </c>
      <c r="B249" t="s">
        <v>862</v>
      </c>
      <c r="C249" t="s">
        <v>550</v>
      </c>
      <c r="D249" t="s">
        <v>550</v>
      </c>
      <c r="E249" t="s">
        <v>550</v>
      </c>
      <c r="F249" t="s">
        <v>863</v>
      </c>
      <c r="G249" t="s">
        <v>864</v>
      </c>
      <c r="H249" t="s">
        <v>916</v>
      </c>
      <c r="I249" t="s">
        <v>549</v>
      </c>
      <c r="J249" t="s">
        <v>2732</v>
      </c>
      <c r="K249" t="s">
        <v>867</v>
      </c>
      <c r="L249" t="s">
        <v>868</v>
      </c>
      <c r="N249" t="s">
        <v>861</v>
      </c>
      <c r="O249">
        <v>0</v>
      </c>
      <c r="P249" t="s">
        <v>1159</v>
      </c>
      <c r="Q249" t="s">
        <v>11</v>
      </c>
      <c r="R249" t="s">
        <v>919</v>
      </c>
      <c r="S249" t="s">
        <v>871</v>
      </c>
      <c r="T249" t="s">
        <v>2720</v>
      </c>
      <c r="U249" t="s">
        <v>2720</v>
      </c>
      <c r="V249" t="s">
        <v>1356</v>
      </c>
      <c r="Y249" t="s">
        <v>874</v>
      </c>
      <c r="Z249" t="s">
        <v>861</v>
      </c>
      <c r="AA249" t="s">
        <v>958</v>
      </c>
      <c r="AB249" t="s">
        <v>2733</v>
      </c>
      <c r="AD249" t="s">
        <v>923</v>
      </c>
      <c r="AE249" t="s">
        <v>2734</v>
      </c>
      <c r="AJ249" t="s">
        <v>861</v>
      </c>
      <c r="AK249" t="s">
        <v>880</v>
      </c>
      <c r="AL249" t="s">
        <v>881</v>
      </c>
      <c r="AM249" t="s">
        <v>882</v>
      </c>
      <c r="AP249" t="s">
        <v>965</v>
      </c>
      <c r="AQ249" t="s">
        <v>2723</v>
      </c>
      <c r="AS249" t="s">
        <v>2723</v>
      </c>
      <c r="AT249" t="s">
        <v>2723</v>
      </c>
      <c r="AU249" t="s">
        <v>886</v>
      </c>
      <c r="AW249" t="s">
        <v>1014</v>
      </c>
      <c r="AX249" t="s">
        <v>1016</v>
      </c>
      <c r="AZ249" t="s">
        <v>1527</v>
      </c>
      <c r="BA249" t="s">
        <v>1018</v>
      </c>
      <c r="BK249" t="s">
        <v>891</v>
      </c>
      <c r="BL249">
        <v>664</v>
      </c>
      <c r="BM249">
        <v>65.06</v>
      </c>
      <c r="BN249">
        <v>7397.84</v>
      </c>
      <c r="BO249">
        <v>20389.36</v>
      </c>
      <c r="BP249">
        <v>20389.36</v>
      </c>
      <c r="BQ249">
        <v>20389.36</v>
      </c>
      <c r="BR249">
        <v>0</v>
      </c>
      <c r="BS249" t="s">
        <v>892</v>
      </c>
      <c r="BT249">
        <v>2639</v>
      </c>
      <c r="BV249" t="s">
        <v>1364</v>
      </c>
      <c r="BW249" t="s">
        <v>1365</v>
      </c>
      <c r="BX249" t="s">
        <v>895</v>
      </c>
      <c r="BY249" t="s">
        <v>2250</v>
      </c>
      <c r="CD249" t="s">
        <v>2735</v>
      </c>
      <c r="CG249" t="s">
        <v>2732</v>
      </c>
      <c r="CH249" t="s">
        <v>898</v>
      </c>
      <c r="CI249" t="s">
        <v>2736</v>
      </c>
      <c r="CJ249" t="s">
        <v>2736</v>
      </c>
      <c r="CP249" t="s">
        <v>1292</v>
      </c>
      <c r="CT249" t="s">
        <v>901</v>
      </c>
    </row>
    <row r="250" spans="1:98" x14ac:dyDescent="0.15">
      <c r="A250" t="s">
        <v>861</v>
      </c>
      <c r="B250" t="s">
        <v>862</v>
      </c>
      <c r="C250" t="s">
        <v>490</v>
      </c>
      <c r="D250" t="s">
        <v>490</v>
      </c>
      <c r="E250" t="s">
        <v>490</v>
      </c>
      <c r="F250" t="s">
        <v>863</v>
      </c>
      <c r="G250" t="s">
        <v>864</v>
      </c>
      <c r="H250" t="s">
        <v>916</v>
      </c>
      <c r="I250" t="s">
        <v>488</v>
      </c>
      <c r="J250" t="s">
        <v>2737</v>
      </c>
      <c r="K250" t="s">
        <v>867</v>
      </c>
      <c r="L250" t="s">
        <v>868</v>
      </c>
      <c r="N250" t="s">
        <v>1259</v>
      </c>
      <c r="O250">
        <v>0</v>
      </c>
      <c r="P250" t="s">
        <v>1159</v>
      </c>
      <c r="Q250" t="s">
        <v>11</v>
      </c>
      <c r="R250" t="s">
        <v>919</v>
      </c>
      <c r="S250" t="s">
        <v>871</v>
      </c>
      <c r="T250" t="s">
        <v>2720</v>
      </c>
      <c r="U250" t="s">
        <v>2720</v>
      </c>
      <c r="V250" t="s">
        <v>1356</v>
      </c>
      <c r="Y250" t="s">
        <v>874</v>
      </c>
      <c r="Z250" t="s">
        <v>861</v>
      </c>
      <c r="AA250" t="s">
        <v>958</v>
      </c>
      <c r="AB250" t="s">
        <v>2738</v>
      </c>
      <c r="AD250" t="s">
        <v>923</v>
      </c>
      <c r="AE250" t="s">
        <v>2739</v>
      </c>
      <c r="AJ250" t="s">
        <v>861</v>
      </c>
      <c r="AK250" t="s">
        <v>880</v>
      </c>
      <c r="AL250" t="s">
        <v>881</v>
      </c>
      <c r="AM250" t="s">
        <v>882</v>
      </c>
      <c r="AP250" t="s">
        <v>965</v>
      </c>
      <c r="AQ250" t="s">
        <v>2723</v>
      </c>
      <c r="AS250" t="s">
        <v>2723</v>
      </c>
      <c r="AT250" t="s">
        <v>2723</v>
      </c>
      <c r="AU250" t="s">
        <v>886</v>
      </c>
      <c r="AW250" t="s">
        <v>1014</v>
      </c>
      <c r="AX250" t="s">
        <v>1016</v>
      </c>
      <c r="AZ250" t="s">
        <v>1527</v>
      </c>
      <c r="BA250" t="s">
        <v>1018</v>
      </c>
      <c r="BK250" t="s">
        <v>891</v>
      </c>
      <c r="BL250">
        <v>953</v>
      </c>
      <c r="BM250">
        <v>68.11</v>
      </c>
      <c r="BN250">
        <v>12240</v>
      </c>
      <c r="BO250">
        <v>21391.7</v>
      </c>
      <c r="BP250">
        <v>21391.7</v>
      </c>
      <c r="BQ250">
        <v>21391.7</v>
      </c>
      <c r="BR250">
        <v>0</v>
      </c>
      <c r="BS250" t="s">
        <v>892</v>
      </c>
      <c r="BT250">
        <v>2639</v>
      </c>
      <c r="BV250" t="s">
        <v>1364</v>
      </c>
      <c r="BW250" t="s">
        <v>1365</v>
      </c>
      <c r="BX250" t="s">
        <v>895</v>
      </c>
      <c r="BY250" t="s">
        <v>2740</v>
      </c>
      <c r="CD250" t="s">
        <v>2735</v>
      </c>
      <c r="CG250" t="s">
        <v>2737</v>
      </c>
      <c r="CH250" t="s">
        <v>898</v>
      </c>
      <c r="CI250" t="s">
        <v>2741</v>
      </c>
      <c r="CJ250" t="s">
        <v>2741</v>
      </c>
      <c r="CP250" t="s">
        <v>1292</v>
      </c>
      <c r="CT250" t="s">
        <v>901</v>
      </c>
    </row>
    <row r="251" spans="1:98" x14ac:dyDescent="0.15">
      <c r="A251" t="s">
        <v>861</v>
      </c>
      <c r="B251" t="s">
        <v>862</v>
      </c>
      <c r="C251" t="s">
        <v>726</v>
      </c>
      <c r="D251" t="s">
        <v>726</v>
      </c>
      <c r="E251" t="s">
        <v>726</v>
      </c>
      <c r="F251" t="s">
        <v>863</v>
      </c>
      <c r="G251" t="s">
        <v>864</v>
      </c>
      <c r="H251" t="s">
        <v>863</v>
      </c>
      <c r="I251" t="s">
        <v>725</v>
      </c>
      <c r="J251" t="s">
        <v>2742</v>
      </c>
      <c r="K251" t="s">
        <v>867</v>
      </c>
      <c r="L251" t="s">
        <v>868</v>
      </c>
      <c r="N251" t="s">
        <v>861</v>
      </c>
      <c r="O251">
        <v>0</v>
      </c>
      <c r="P251" t="s">
        <v>1180</v>
      </c>
      <c r="Q251" t="s">
        <v>11</v>
      </c>
      <c r="R251" t="s">
        <v>919</v>
      </c>
      <c r="S251" t="s">
        <v>871</v>
      </c>
      <c r="T251" t="s">
        <v>2743</v>
      </c>
      <c r="U251" t="s">
        <v>2743</v>
      </c>
      <c r="V251" t="s">
        <v>1356</v>
      </c>
      <c r="Y251" t="s">
        <v>874</v>
      </c>
      <c r="Z251" t="s">
        <v>861</v>
      </c>
      <c r="AA251" t="s">
        <v>922</v>
      </c>
      <c r="AD251" t="s">
        <v>869</v>
      </c>
      <c r="AJ251" t="s">
        <v>861</v>
      </c>
      <c r="AK251" t="s">
        <v>880</v>
      </c>
      <c r="AP251" t="s">
        <v>1373</v>
      </c>
      <c r="AZ251" t="s">
        <v>2730</v>
      </c>
      <c r="BK251" t="s">
        <v>891</v>
      </c>
      <c r="BL251">
        <v>850</v>
      </c>
      <c r="BM251">
        <v>66.61</v>
      </c>
      <c r="BN251">
        <v>19959</v>
      </c>
      <c r="BO251">
        <v>28999.3</v>
      </c>
      <c r="BP251">
        <v>28999.3</v>
      </c>
      <c r="BQ251">
        <v>28999.3</v>
      </c>
      <c r="BR251">
        <v>0</v>
      </c>
      <c r="BS251" t="s">
        <v>892</v>
      </c>
      <c r="BT251">
        <v>2859</v>
      </c>
      <c r="BV251" t="s">
        <v>1587</v>
      </c>
      <c r="BW251" t="s">
        <v>1460</v>
      </c>
      <c r="BX251" t="s">
        <v>895</v>
      </c>
      <c r="BY251" t="s">
        <v>2740</v>
      </c>
      <c r="CD251" t="s">
        <v>2744</v>
      </c>
      <c r="CG251" t="s">
        <v>2742</v>
      </c>
      <c r="CH251" t="s">
        <v>898</v>
      </c>
      <c r="CI251" t="s">
        <v>2745</v>
      </c>
      <c r="CJ251" t="s">
        <v>2745</v>
      </c>
      <c r="CP251" t="s">
        <v>2746</v>
      </c>
      <c r="CT251" t="s">
        <v>901</v>
      </c>
    </row>
    <row r="252" spans="1:98" x14ac:dyDescent="0.15">
      <c r="A252" t="s">
        <v>861</v>
      </c>
      <c r="B252" t="s">
        <v>862</v>
      </c>
      <c r="C252" t="s">
        <v>690</v>
      </c>
      <c r="D252" t="s">
        <v>690</v>
      </c>
      <c r="E252" t="s">
        <v>690</v>
      </c>
      <c r="F252" t="s">
        <v>863</v>
      </c>
      <c r="G252" t="s">
        <v>864</v>
      </c>
      <c r="H252" t="s">
        <v>863</v>
      </c>
      <c r="I252" t="s">
        <v>689</v>
      </c>
      <c r="J252" t="s">
        <v>2747</v>
      </c>
      <c r="K252" t="s">
        <v>867</v>
      </c>
      <c r="L252" t="s">
        <v>868</v>
      </c>
      <c r="N252" t="s">
        <v>861</v>
      </c>
      <c r="O252">
        <v>0</v>
      </c>
      <c r="P252" t="s">
        <v>1180</v>
      </c>
      <c r="Q252" t="s">
        <v>11</v>
      </c>
      <c r="R252" t="s">
        <v>919</v>
      </c>
      <c r="S252" t="s">
        <v>871</v>
      </c>
      <c r="T252" t="s">
        <v>2743</v>
      </c>
      <c r="U252" t="s">
        <v>2743</v>
      </c>
      <c r="V252" t="s">
        <v>1356</v>
      </c>
      <c r="Y252" t="s">
        <v>910</v>
      </c>
      <c r="Z252" t="s">
        <v>861</v>
      </c>
      <c r="AA252" t="s">
        <v>922</v>
      </c>
      <c r="AD252" t="s">
        <v>869</v>
      </c>
      <c r="AJ252" t="s">
        <v>861</v>
      </c>
      <c r="AK252" t="s">
        <v>880</v>
      </c>
      <c r="AP252" t="s">
        <v>1373</v>
      </c>
      <c r="AZ252" t="s">
        <v>2730</v>
      </c>
      <c r="BK252" t="s">
        <v>891</v>
      </c>
      <c r="BL252">
        <v>479</v>
      </c>
      <c r="BM252">
        <v>68.02</v>
      </c>
      <c r="BN252">
        <v>14218.8</v>
      </c>
      <c r="BO252">
        <v>24082.61</v>
      </c>
      <c r="BP252">
        <v>24082.61</v>
      </c>
      <c r="BQ252">
        <v>24082.61</v>
      </c>
      <c r="BR252">
        <v>0</v>
      </c>
      <c r="BS252" t="s">
        <v>892</v>
      </c>
      <c r="BT252">
        <v>2859</v>
      </c>
      <c r="BV252" t="s">
        <v>1587</v>
      </c>
      <c r="BW252" t="s">
        <v>1460</v>
      </c>
      <c r="BX252" t="s">
        <v>895</v>
      </c>
      <c r="BY252" t="s">
        <v>2740</v>
      </c>
      <c r="CD252" t="s">
        <v>2748</v>
      </c>
      <c r="CG252" t="s">
        <v>2747</v>
      </c>
      <c r="CH252" t="s">
        <v>898</v>
      </c>
      <c r="CI252" t="s">
        <v>2749</v>
      </c>
      <c r="CJ252" t="s">
        <v>2749</v>
      </c>
      <c r="CP252" t="s">
        <v>2746</v>
      </c>
      <c r="CT252" t="s">
        <v>901</v>
      </c>
    </row>
    <row r="253" spans="1:98" x14ac:dyDescent="0.15">
      <c r="A253" t="s">
        <v>861</v>
      </c>
      <c r="B253" t="s">
        <v>862</v>
      </c>
      <c r="C253" t="s">
        <v>728</v>
      </c>
      <c r="D253" t="s">
        <v>728</v>
      </c>
      <c r="E253" t="s">
        <v>728</v>
      </c>
      <c r="F253" t="s">
        <v>863</v>
      </c>
      <c r="G253" t="s">
        <v>864</v>
      </c>
      <c r="H253" t="s">
        <v>863</v>
      </c>
      <c r="I253" t="s">
        <v>727</v>
      </c>
      <c r="J253" t="s">
        <v>2750</v>
      </c>
      <c r="K253" t="s">
        <v>867</v>
      </c>
      <c r="L253" t="s">
        <v>868</v>
      </c>
      <c r="N253" t="s">
        <v>861</v>
      </c>
      <c r="O253">
        <v>0</v>
      </c>
      <c r="P253" t="s">
        <v>1180</v>
      </c>
      <c r="Q253" t="s">
        <v>11</v>
      </c>
      <c r="R253" t="s">
        <v>919</v>
      </c>
      <c r="S253" t="s">
        <v>871</v>
      </c>
      <c r="T253" t="s">
        <v>2743</v>
      </c>
      <c r="U253" t="s">
        <v>2743</v>
      </c>
      <c r="V253" t="s">
        <v>1356</v>
      </c>
      <c r="Y253" t="s">
        <v>874</v>
      </c>
      <c r="Z253" t="s">
        <v>861</v>
      </c>
      <c r="AA253" t="s">
        <v>922</v>
      </c>
      <c r="AD253" t="s">
        <v>869</v>
      </c>
      <c r="AJ253" t="s">
        <v>861</v>
      </c>
      <c r="AK253" t="s">
        <v>880</v>
      </c>
      <c r="AP253" t="s">
        <v>1373</v>
      </c>
      <c r="AZ253" t="s">
        <v>2730</v>
      </c>
      <c r="BK253" t="s">
        <v>891</v>
      </c>
      <c r="BL253">
        <v>892</v>
      </c>
      <c r="BM253">
        <v>68.489999999999995</v>
      </c>
      <c r="BN253">
        <v>19196</v>
      </c>
      <c r="BO253">
        <v>27182.52</v>
      </c>
      <c r="BP253">
        <v>27182.52</v>
      </c>
      <c r="BQ253">
        <v>27182.52</v>
      </c>
      <c r="BR253">
        <v>0</v>
      </c>
      <c r="BS253" t="s">
        <v>892</v>
      </c>
      <c r="BT253">
        <v>2859</v>
      </c>
      <c r="BV253" t="s">
        <v>1587</v>
      </c>
      <c r="BW253" t="s">
        <v>1460</v>
      </c>
      <c r="BX253" t="s">
        <v>895</v>
      </c>
      <c r="BY253" t="s">
        <v>2751</v>
      </c>
      <c r="CD253" t="s">
        <v>2748</v>
      </c>
      <c r="CG253" t="s">
        <v>2750</v>
      </c>
      <c r="CH253" t="s">
        <v>898</v>
      </c>
      <c r="CI253" t="s">
        <v>2752</v>
      </c>
      <c r="CJ253" t="s">
        <v>2752</v>
      </c>
      <c r="CP253" t="s">
        <v>2746</v>
      </c>
      <c r="CS253" t="s">
        <v>1210</v>
      </c>
      <c r="CT253" t="s">
        <v>901</v>
      </c>
    </row>
    <row r="254" spans="1:98" x14ac:dyDescent="0.15">
      <c r="A254" t="s">
        <v>861</v>
      </c>
      <c r="B254" t="s">
        <v>862</v>
      </c>
      <c r="C254" t="s">
        <v>641</v>
      </c>
      <c r="D254" t="s">
        <v>641</v>
      </c>
      <c r="E254" t="s">
        <v>641</v>
      </c>
      <c r="F254" t="s">
        <v>863</v>
      </c>
      <c r="G254" t="s">
        <v>864</v>
      </c>
      <c r="H254" t="s">
        <v>863</v>
      </c>
      <c r="I254" t="s">
        <v>640</v>
      </c>
      <c r="J254" t="s">
        <v>2753</v>
      </c>
      <c r="K254" t="s">
        <v>867</v>
      </c>
      <c r="L254" t="s">
        <v>868</v>
      </c>
      <c r="N254" t="s">
        <v>861</v>
      </c>
      <c r="O254">
        <v>0</v>
      </c>
      <c r="P254" t="s">
        <v>1180</v>
      </c>
      <c r="Q254" t="s">
        <v>11</v>
      </c>
      <c r="R254" t="s">
        <v>919</v>
      </c>
      <c r="S254" t="s">
        <v>871</v>
      </c>
      <c r="T254" t="s">
        <v>2754</v>
      </c>
      <c r="U254" t="s">
        <v>2754</v>
      </c>
      <c r="V254" t="s">
        <v>1394</v>
      </c>
      <c r="Y254" t="s">
        <v>874</v>
      </c>
      <c r="Z254" t="s">
        <v>861</v>
      </c>
      <c r="AA254" t="s">
        <v>922</v>
      </c>
      <c r="AD254" t="s">
        <v>869</v>
      </c>
      <c r="AJ254" t="s">
        <v>861</v>
      </c>
      <c r="AK254" t="s">
        <v>880</v>
      </c>
      <c r="AL254" t="s">
        <v>881</v>
      </c>
      <c r="AM254" t="s">
        <v>882</v>
      </c>
      <c r="AP254" t="s">
        <v>889</v>
      </c>
      <c r="AQ254" t="s">
        <v>2755</v>
      </c>
      <c r="AS254" t="s">
        <v>2755</v>
      </c>
      <c r="AT254" t="s">
        <v>2755</v>
      </c>
      <c r="AU254" t="s">
        <v>886</v>
      </c>
      <c r="AW254" t="s">
        <v>1277</v>
      </c>
      <c r="AX254" t="s">
        <v>1018</v>
      </c>
      <c r="AZ254" t="s">
        <v>1577</v>
      </c>
      <c r="BA254" t="s">
        <v>2756</v>
      </c>
      <c r="BK254" t="s">
        <v>891</v>
      </c>
      <c r="BL254">
        <v>706</v>
      </c>
      <c r="BM254">
        <v>68.650000000000006</v>
      </c>
      <c r="BN254">
        <v>16391</v>
      </c>
      <c r="BO254">
        <v>24021.360000000001</v>
      </c>
      <c r="BP254">
        <v>24021.360000000001</v>
      </c>
      <c r="BQ254">
        <v>24021.360000000001</v>
      </c>
      <c r="BR254">
        <v>0</v>
      </c>
      <c r="BS254" t="s">
        <v>892</v>
      </c>
      <c r="BT254">
        <v>2859</v>
      </c>
      <c r="BV254" t="s">
        <v>1587</v>
      </c>
      <c r="BW254" t="s">
        <v>1614</v>
      </c>
      <c r="BX254" t="s">
        <v>895</v>
      </c>
      <c r="BY254" t="s">
        <v>2724</v>
      </c>
      <c r="CD254" t="s">
        <v>2725</v>
      </c>
      <c r="CG254" t="s">
        <v>2753</v>
      </c>
      <c r="CH254" t="s">
        <v>898</v>
      </c>
      <c r="CI254" t="s">
        <v>2757</v>
      </c>
      <c r="CJ254" t="s">
        <v>2757</v>
      </c>
      <c r="CP254" t="s">
        <v>2216</v>
      </c>
      <c r="CT254" t="s">
        <v>901</v>
      </c>
    </row>
    <row r="255" spans="1:98" x14ac:dyDescent="0.15">
      <c r="A255" t="s">
        <v>861</v>
      </c>
      <c r="B255" t="s">
        <v>862</v>
      </c>
      <c r="C255" t="s">
        <v>635</v>
      </c>
      <c r="D255" t="s">
        <v>635</v>
      </c>
      <c r="E255" t="s">
        <v>635</v>
      </c>
      <c r="F255" t="s">
        <v>863</v>
      </c>
      <c r="G255" t="s">
        <v>864</v>
      </c>
      <c r="H255" t="s">
        <v>863</v>
      </c>
      <c r="I255" t="s">
        <v>634</v>
      </c>
      <c r="J255" t="s">
        <v>2758</v>
      </c>
      <c r="K255" t="s">
        <v>867</v>
      </c>
      <c r="L255" t="s">
        <v>868</v>
      </c>
      <c r="N255" t="s">
        <v>861</v>
      </c>
      <c r="O255">
        <v>0</v>
      </c>
      <c r="P255" t="s">
        <v>1180</v>
      </c>
      <c r="Q255" t="s">
        <v>11</v>
      </c>
      <c r="R255" t="s">
        <v>919</v>
      </c>
      <c r="S255" t="s">
        <v>871</v>
      </c>
      <c r="T255" t="s">
        <v>2754</v>
      </c>
      <c r="U255" t="s">
        <v>2754</v>
      </c>
      <c r="V255" t="s">
        <v>1394</v>
      </c>
      <c r="Y255" t="s">
        <v>910</v>
      </c>
      <c r="Z255" t="s">
        <v>861</v>
      </c>
      <c r="AA255" t="s">
        <v>922</v>
      </c>
      <c r="AD255" t="s">
        <v>869</v>
      </c>
      <c r="AJ255" t="s">
        <v>861</v>
      </c>
      <c r="AK255" t="s">
        <v>880</v>
      </c>
      <c r="AL255" t="s">
        <v>881</v>
      </c>
      <c r="AM255" t="s">
        <v>882</v>
      </c>
      <c r="AP255" t="s">
        <v>889</v>
      </c>
      <c r="AQ255" t="s">
        <v>2755</v>
      </c>
      <c r="AS255" t="s">
        <v>2755</v>
      </c>
      <c r="AT255" t="s">
        <v>2755</v>
      </c>
      <c r="AU255" t="s">
        <v>886</v>
      </c>
      <c r="AW255" t="s">
        <v>1277</v>
      </c>
      <c r="AX255" t="s">
        <v>1018</v>
      </c>
      <c r="AZ255" t="s">
        <v>1577</v>
      </c>
      <c r="BA255" t="s">
        <v>2756</v>
      </c>
      <c r="BK255" t="s">
        <v>891</v>
      </c>
      <c r="BL255">
        <v>430</v>
      </c>
      <c r="BM255">
        <v>67.05</v>
      </c>
      <c r="BN255">
        <v>12543</v>
      </c>
      <c r="BO255">
        <v>21496</v>
      </c>
      <c r="BP255">
        <v>21496</v>
      </c>
      <c r="BQ255">
        <v>21496</v>
      </c>
      <c r="BR255">
        <v>0</v>
      </c>
      <c r="BS255" t="s">
        <v>892</v>
      </c>
      <c r="BT255">
        <v>2859</v>
      </c>
      <c r="BV255" t="s">
        <v>1587</v>
      </c>
      <c r="BW255" t="s">
        <v>1614</v>
      </c>
      <c r="BX255" t="s">
        <v>895</v>
      </c>
      <c r="BY255" t="s">
        <v>2724</v>
      </c>
      <c r="CD255" t="s">
        <v>2759</v>
      </c>
      <c r="CG255" t="s">
        <v>2758</v>
      </c>
      <c r="CH255" t="s">
        <v>898</v>
      </c>
      <c r="CI255" t="s">
        <v>2760</v>
      </c>
      <c r="CJ255" t="s">
        <v>2760</v>
      </c>
      <c r="CP255" t="s">
        <v>2216</v>
      </c>
      <c r="CS255" t="s">
        <v>1210</v>
      </c>
      <c r="CT255" t="s">
        <v>901</v>
      </c>
    </row>
    <row r="256" spans="1:98" x14ac:dyDescent="0.15">
      <c r="A256" t="s">
        <v>861</v>
      </c>
      <c r="B256" t="s">
        <v>862</v>
      </c>
      <c r="C256" t="s">
        <v>760</v>
      </c>
      <c r="D256" t="s">
        <v>760</v>
      </c>
      <c r="E256" t="s">
        <v>760</v>
      </c>
      <c r="F256" t="s">
        <v>863</v>
      </c>
      <c r="G256" t="s">
        <v>864</v>
      </c>
      <c r="H256" t="s">
        <v>863</v>
      </c>
      <c r="I256" t="s">
        <v>758</v>
      </c>
      <c r="J256" t="s">
        <v>2761</v>
      </c>
      <c r="K256" t="s">
        <v>867</v>
      </c>
      <c r="L256" t="s">
        <v>868</v>
      </c>
      <c r="N256" t="s">
        <v>861</v>
      </c>
      <c r="O256">
        <v>0</v>
      </c>
      <c r="P256" t="s">
        <v>1180</v>
      </c>
      <c r="Q256" t="s">
        <v>11</v>
      </c>
      <c r="R256" t="s">
        <v>919</v>
      </c>
      <c r="S256" t="s">
        <v>871</v>
      </c>
      <c r="T256" t="s">
        <v>2762</v>
      </c>
      <c r="U256" t="s">
        <v>2762</v>
      </c>
      <c r="V256" t="s">
        <v>1371</v>
      </c>
      <c r="Y256" t="s">
        <v>874</v>
      </c>
      <c r="Z256" t="s">
        <v>861</v>
      </c>
      <c r="AA256" t="s">
        <v>922</v>
      </c>
      <c r="AD256" t="s">
        <v>869</v>
      </c>
      <c r="AJ256" t="s">
        <v>861</v>
      </c>
      <c r="AK256" t="s">
        <v>880</v>
      </c>
      <c r="AP256" t="s">
        <v>1051</v>
      </c>
      <c r="AZ256" t="s">
        <v>1191</v>
      </c>
      <c r="BK256" t="s">
        <v>891</v>
      </c>
      <c r="BL256">
        <v>447</v>
      </c>
      <c r="BM256">
        <v>69.92</v>
      </c>
      <c r="BN256">
        <v>13542.5</v>
      </c>
      <c r="BO256">
        <v>27065.73</v>
      </c>
      <c r="BP256">
        <v>27065.73</v>
      </c>
      <c r="BQ256">
        <v>27065.73</v>
      </c>
      <c r="BR256">
        <v>0</v>
      </c>
      <c r="BS256" t="s">
        <v>892</v>
      </c>
      <c r="BT256">
        <v>2859</v>
      </c>
      <c r="BV256" t="s">
        <v>1587</v>
      </c>
      <c r="BW256" t="s">
        <v>2763</v>
      </c>
      <c r="BX256" t="s">
        <v>895</v>
      </c>
      <c r="BY256" t="s">
        <v>2764</v>
      </c>
      <c r="CD256" t="s">
        <v>2765</v>
      </c>
      <c r="CG256" t="s">
        <v>2761</v>
      </c>
      <c r="CH256" t="s">
        <v>898</v>
      </c>
      <c r="CI256" t="s">
        <v>2766</v>
      </c>
      <c r="CJ256" t="s">
        <v>2766</v>
      </c>
      <c r="CP256" t="s">
        <v>1545</v>
      </c>
      <c r="CT256" t="s">
        <v>901</v>
      </c>
    </row>
    <row r="257" spans="1:98" x14ac:dyDescent="0.15">
      <c r="A257" t="s">
        <v>861</v>
      </c>
      <c r="B257" t="s">
        <v>862</v>
      </c>
      <c r="C257" t="s">
        <v>647</v>
      </c>
      <c r="D257" t="s">
        <v>647</v>
      </c>
      <c r="E257" t="s">
        <v>647</v>
      </c>
      <c r="F257" t="s">
        <v>863</v>
      </c>
      <c r="G257" t="s">
        <v>864</v>
      </c>
      <c r="H257" t="s">
        <v>863</v>
      </c>
      <c r="I257" t="s">
        <v>646</v>
      </c>
      <c r="J257" t="s">
        <v>2767</v>
      </c>
      <c r="K257" t="s">
        <v>977</v>
      </c>
      <c r="L257" t="s">
        <v>868</v>
      </c>
      <c r="N257" t="s">
        <v>861</v>
      </c>
      <c r="O257">
        <v>0</v>
      </c>
      <c r="P257" t="s">
        <v>869</v>
      </c>
      <c r="Q257" t="s">
        <v>125</v>
      </c>
      <c r="R257" t="s">
        <v>870</v>
      </c>
      <c r="S257" t="s">
        <v>871</v>
      </c>
      <c r="T257" t="s">
        <v>1152</v>
      </c>
      <c r="U257" t="s">
        <v>1152</v>
      </c>
      <c r="V257" t="s">
        <v>1013</v>
      </c>
      <c r="Y257" t="s">
        <v>874</v>
      </c>
      <c r="Z257" t="s">
        <v>861</v>
      </c>
      <c r="AA257" t="s">
        <v>958</v>
      </c>
      <c r="AB257" t="s">
        <v>2768</v>
      </c>
      <c r="AJ257" t="s">
        <v>861</v>
      </c>
      <c r="AK257" t="s">
        <v>880</v>
      </c>
      <c r="AL257" t="s">
        <v>913</v>
      </c>
      <c r="AM257" t="s">
        <v>882</v>
      </c>
      <c r="AP257" t="s">
        <v>965</v>
      </c>
      <c r="AQ257" t="s">
        <v>1470</v>
      </c>
      <c r="AS257" t="s">
        <v>1470</v>
      </c>
      <c r="AT257" t="s">
        <v>1470</v>
      </c>
      <c r="AU257" t="s">
        <v>886</v>
      </c>
      <c r="AW257" t="s">
        <v>1471</v>
      </c>
      <c r="AX257" t="s">
        <v>1152</v>
      </c>
      <c r="AZ257" t="s">
        <v>1451</v>
      </c>
      <c r="BA257" t="s">
        <v>2253</v>
      </c>
      <c r="BK257" t="s">
        <v>1134</v>
      </c>
      <c r="BL257">
        <v>551</v>
      </c>
      <c r="BM257">
        <v>66.67</v>
      </c>
      <c r="BN257">
        <v>6066</v>
      </c>
      <c r="BO257">
        <v>19923.18</v>
      </c>
      <c r="BP257">
        <v>19923.18</v>
      </c>
      <c r="BQ257">
        <v>22811.94</v>
      </c>
      <c r="BR257">
        <v>2888.76</v>
      </c>
      <c r="BS257" t="s">
        <v>892</v>
      </c>
      <c r="BT257">
        <v>2886</v>
      </c>
      <c r="BV257" t="s">
        <v>1472</v>
      </c>
      <c r="BW257" t="s">
        <v>1473</v>
      </c>
      <c r="BX257" t="s">
        <v>895</v>
      </c>
      <c r="BY257" t="s">
        <v>2769</v>
      </c>
      <c r="CD257" t="s">
        <v>2770</v>
      </c>
      <c r="CG257" t="s">
        <v>2771</v>
      </c>
      <c r="CH257" t="s">
        <v>994</v>
      </c>
      <c r="CI257" t="s">
        <v>2771</v>
      </c>
      <c r="CJ257" t="s">
        <v>2771</v>
      </c>
      <c r="CP257" t="s">
        <v>1275</v>
      </c>
      <c r="CT257" t="s">
        <v>901</v>
      </c>
    </row>
    <row r="258" spans="1:98" x14ac:dyDescent="0.15">
      <c r="A258" t="s">
        <v>861</v>
      </c>
      <c r="B258" t="s">
        <v>862</v>
      </c>
      <c r="C258" t="s">
        <v>651</v>
      </c>
      <c r="D258" t="s">
        <v>651</v>
      </c>
      <c r="E258" t="s">
        <v>651</v>
      </c>
      <c r="F258" t="s">
        <v>863</v>
      </c>
      <c r="G258" t="s">
        <v>864</v>
      </c>
      <c r="H258" t="s">
        <v>863</v>
      </c>
      <c r="I258" t="s">
        <v>650</v>
      </c>
      <c r="J258" t="s">
        <v>2772</v>
      </c>
      <c r="K258" t="s">
        <v>977</v>
      </c>
      <c r="L258" t="s">
        <v>868</v>
      </c>
      <c r="N258" t="s">
        <v>861</v>
      </c>
      <c r="O258">
        <v>0</v>
      </c>
      <c r="P258" t="s">
        <v>869</v>
      </c>
      <c r="Q258" t="s">
        <v>125</v>
      </c>
      <c r="R258" t="s">
        <v>870</v>
      </c>
      <c r="S258" t="s">
        <v>871</v>
      </c>
      <c r="T258" t="s">
        <v>1152</v>
      </c>
      <c r="U258" t="s">
        <v>1152</v>
      </c>
      <c r="V258" t="s">
        <v>1013</v>
      </c>
      <c r="Y258" t="s">
        <v>874</v>
      </c>
      <c r="Z258" t="s">
        <v>861</v>
      </c>
      <c r="AA258" t="s">
        <v>958</v>
      </c>
      <c r="AB258" t="s">
        <v>2773</v>
      </c>
      <c r="AD258" t="s">
        <v>1484</v>
      </c>
      <c r="AJ258" t="s">
        <v>861</v>
      </c>
      <c r="AK258" t="s">
        <v>880</v>
      </c>
      <c r="AL258" t="s">
        <v>913</v>
      </c>
      <c r="AM258" t="s">
        <v>882</v>
      </c>
      <c r="AP258" t="s">
        <v>965</v>
      </c>
      <c r="AQ258" t="s">
        <v>1470</v>
      </c>
      <c r="AS258" t="s">
        <v>1470</v>
      </c>
      <c r="AT258" t="s">
        <v>1470</v>
      </c>
      <c r="AU258" t="s">
        <v>886</v>
      </c>
      <c r="AW258" t="s">
        <v>1471</v>
      </c>
      <c r="AX258" t="s">
        <v>1152</v>
      </c>
      <c r="AZ258" t="s">
        <v>1451</v>
      </c>
      <c r="BA258" t="s">
        <v>2253</v>
      </c>
      <c r="BK258" t="s">
        <v>1134</v>
      </c>
      <c r="BL258">
        <v>649</v>
      </c>
      <c r="BM258">
        <v>64.8</v>
      </c>
      <c r="BN258">
        <v>10789.5</v>
      </c>
      <c r="BO258">
        <v>25078.01</v>
      </c>
      <c r="BP258">
        <v>25078.01</v>
      </c>
      <c r="BQ258">
        <v>27967.4</v>
      </c>
      <c r="BR258">
        <v>2889.38</v>
      </c>
      <c r="BS258" t="s">
        <v>892</v>
      </c>
      <c r="BT258">
        <v>2886</v>
      </c>
      <c r="BV258" t="s">
        <v>1472</v>
      </c>
      <c r="BW258" t="s">
        <v>1473</v>
      </c>
      <c r="BX258" t="s">
        <v>895</v>
      </c>
      <c r="BY258" t="s">
        <v>2769</v>
      </c>
      <c r="CD258" t="s">
        <v>2774</v>
      </c>
      <c r="CG258" t="s">
        <v>2775</v>
      </c>
      <c r="CH258" t="s">
        <v>994</v>
      </c>
      <c r="CI258" t="s">
        <v>2775</v>
      </c>
      <c r="CJ258" t="s">
        <v>2775</v>
      </c>
      <c r="CP258" t="s">
        <v>1275</v>
      </c>
      <c r="CT258" t="s">
        <v>901</v>
      </c>
    </row>
    <row r="259" spans="1:98" x14ac:dyDescent="0.15">
      <c r="A259" t="s">
        <v>861</v>
      </c>
      <c r="B259" t="s">
        <v>862</v>
      </c>
      <c r="C259" t="s">
        <v>629</v>
      </c>
      <c r="D259" t="s">
        <v>629</v>
      </c>
      <c r="E259" t="s">
        <v>629</v>
      </c>
      <c r="F259" t="s">
        <v>863</v>
      </c>
      <c r="G259" t="s">
        <v>864</v>
      </c>
      <c r="H259" t="s">
        <v>863</v>
      </c>
      <c r="I259" t="s">
        <v>628</v>
      </c>
      <c r="J259" t="s">
        <v>2776</v>
      </c>
      <c r="K259" t="s">
        <v>977</v>
      </c>
      <c r="L259" t="s">
        <v>868</v>
      </c>
      <c r="N259" t="s">
        <v>861</v>
      </c>
      <c r="O259">
        <v>0</v>
      </c>
      <c r="P259" t="s">
        <v>869</v>
      </c>
      <c r="Q259" t="s">
        <v>125</v>
      </c>
      <c r="R259" t="s">
        <v>870</v>
      </c>
      <c r="S259" t="s">
        <v>871</v>
      </c>
      <c r="T259" t="s">
        <v>1152</v>
      </c>
      <c r="U259" t="s">
        <v>1152</v>
      </c>
      <c r="V259" t="s">
        <v>1013</v>
      </c>
      <c r="Y259" t="s">
        <v>874</v>
      </c>
      <c r="Z259" t="s">
        <v>861</v>
      </c>
      <c r="AA259" t="s">
        <v>958</v>
      </c>
      <c r="AB259" t="s">
        <v>2777</v>
      </c>
      <c r="AJ259" t="s">
        <v>861</v>
      </c>
      <c r="AK259" t="s">
        <v>880</v>
      </c>
      <c r="AL259" t="s">
        <v>881</v>
      </c>
      <c r="AM259" t="s">
        <v>882</v>
      </c>
      <c r="AP259" t="s">
        <v>965</v>
      </c>
      <c r="AQ259" t="s">
        <v>1470</v>
      </c>
      <c r="AS259" t="s">
        <v>1470</v>
      </c>
      <c r="AT259" t="s">
        <v>1470</v>
      </c>
      <c r="AU259" t="s">
        <v>886</v>
      </c>
      <c r="AW259" t="s">
        <v>1471</v>
      </c>
      <c r="AX259" t="s">
        <v>1152</v>
      </c>
      <c r="AZ259" t="s">
        <v>1451</v>
      </c>
      <c r="BA259" t="s">
        <v>2253</v>
      </c>
      <c r="BK259" t="s">
        <v>1134</v>
      </c>
      <c r="BL259">
        <v>1426</v>
      </c>
      <c r="BM259">
        <v>64.459999999999994</v>
      </c>
      <c r="BN259">
        <v>10470.799999999999</v>
      </c>
      <c r="BO259">
        <v>22376.04</v>
      </c>
      <c r="BP259">
        <v>22376.04</v>
      </c>
      <c r="BQ259">
        <v>25265.11</v>
      </c>
      <c r="BR259">
        <v>2889.06</v>
      </c>
      <c r="BS259" t="s">
        <v>892</v>
      </c>
      <c r="BT259">
        <v>2886</v>
      </c>
      <c r="BV259" t="s">
        <v>1472</v>
      </c>
      <c r="BW259" t="s">
        <v>1473</v>
      </c>
      <c r="BX259" t="s">
        <v>895</v>
      </c>
      <c r="BY259" t="s">
        <v>2769</v>
      </c>
      <c r="CD259" t="s">
        <v>2770</v>
      </c>
      <c r="CG259" t="s">
        <v>2778</v>
      </c>
      <c r="CH259" t="s">
        <v>994</v>
      </c>
      <c r="CI259" t="s">
        <v>2778</v>
      </c>
      <c r="CJ259" t="s">
        <v>2778</v>
      </c>
      <c r="CP259" t="s">
        <v>1275</v>
      </c>
      <c r="CT259" t="s">
        <v>901</v>
      </c>
    </row>
    <row r="260" spans="1:98" x14ac:dyDescent="0.15">
      <c r="A260" t="s">
        <v>861</v>
      </c>
      <c r="B260" t="s">
        <v>862</v>
      </c>
      <c r="C260" t="s">
        <v>598</v>
      </c>
      <c r="D260" t="s">
        <v>598</v>
      </c>
      <c r="E260" t="s">
        <v>598</v>
      </c>
      <c r="F260" t="s">
        <v>863</v>
      </c>
      <c r="G260" t="s">
        <v>864</v>
      </c>
      <c r="H260" t="s">
        <v>863</v>
      </c>
      <c r="I260" t="s">
        <v>597</v>
      </c>
      <c r="J260" t="s">
        <v>2779</v>
      </c>
      <c r="K260" t="s">
        <v>977</v>
      </c>
      <c r="L260" t="s">
        <v>868</v>
      </c>
      <c r="N260" t="s">
        <v>861</v>
      </c>
      <c r="O260">
        <v>0</v>
      </c>
      <c r="P260" t="s">
        <v>869</v>
      </c>
      <c r="Q260" t="s">
        <v>125</v>
      </c>
      <c r="R260" t="s">
        <v>870</v>
      </c>
      <c r="S260" t="s">
        <v>871</v>
      </c>
      <c r="T260" t="s">
        <v>1152</v>
      </c>
      <c r="U260" t="s">
        <v>1152</v>
      </c>
      <c r="V260" t="s">
        <v>1013</v>
      </c>
      <c r="Y260" t="s">
        <v>874</v>
      </c>
      <c r="Z260" t="s">
        <v>861</v>
      </c>
      <c r="AA260" t="s">
        <v>958</v>
      </c>
      <c r="AB260" t="s">
        <v>2780</v>
      </c>
      <c r="AJ260" t="s">
        <v>861</v>
      </c>
      <c r="AK260" t="s">
        <v>880</v>
      </c>
      <c r="AL260" t="s">
        <v>881</v>
      </c>
      <c r="AM260" t="s">
        <v>882</v>
      </c>
      <c r="AP260" t="s">
        <v>965</v>
      </c>
      <c r="AQ260" t="s">
        <v>1470</v>
      </c>
      <c r="AS260" t="s">
        <v>1470</v>
      </c>
      <c r="AT260" t="s">
        <v>1470</v>
      </c>
      <c r="AU260" t="s">
        <v>886</v>
      </c>
      <c r="AW260" t="s">
        <v>1471</v>
      </c>
      <c r="AX260" t="s">
        <v>1152</v>
      </c>
      <c r="AZ260" t="s">
        <v>1451</v>
      </c>
      <c r="BA260" t="s">
        <v>2253</v>
      </c>
      <c r="BK260" t="s">
        <v>1134</v>
      </c>
      <c r="BL260">
        <v>839</v>
      </c>
      <c r="BM260">
        <v>65.569999999999993</v>
      </c>
      <c r="BN260">
        <v>9959.4</v>
      </c>
      <c r="BO260">
        <v>22408.04</v>
      </c>
      <c r="BP260">
        <v>22408.04</v>
      </c>
      <c r="BQ260">
        <v>25297.119999999999</v>
      </c>
      <c r="BR260">
        <v>2889.06</v>
      </c>
      <c r="BS260" t="s">
        <v>892</v>
      </c>
      <c r="BT260">
        <v>2886</v>
      </c>
      <c r="BV260" t="s">
        <v>1472</v>
      </c>
      <c r="BW260" t="s">
        <v>1473</v>
      </c>
      <c r="BX260" t="s">
        <v>895</v>
      </c>
      <c r="BY260" t="s">
        <v>2781</v>
      </c>
      <c r="CD260" t="s">
        <v>2782</v>
      </c>
      <c r="CG260" t="s">
        <v>2783</v>
      </c>
      <c r="CH260" t="s">
        <v>994</v>
      </c>
      <c r="CI260" t="s">
        <v>2783</v>
      </c>
      <c r="CJ260" t="s">
        <v>2783</v>
      </c>
      <c r="CP260" t="s">
        <v>1275</v>
      </c>
      <c r="CT260" t="s">
        <v>901</v>
      </c>
    </row>
    <row r="261" spans="1:98" x14ac:dyDescent="0.15">
      <c r="A261" t="s">
        <v>861</v>
      </c>
      <c r="B261" t="s">
        <v>862</v>
      </c>
      <c r="C261" t="s">
        <v>649</v>
      </c>
      <c r="D261" t="s">
        <v>649</v>
      </c>
      <c r="E261" t="s">
        <v>649</v>
      </c>
      <c r="F261" t="s">
        <v>863</v>
      </c>
      <c r="G261" t="s">
        <v>864</v>
      </c>
      <c r="H261" t="s">
        <v>863</v>
      </c>
      <c r="I261" t="s">
        <v>648</v>
      </c>
      <c r="J261" t="s">
        <v>2784</v>
      </c>
      <c r="K261" t="s">
        <v>977</v>
      </c>
      <c r="L261" t="s">
        <v>868</v>
      </c>
      <c r="N261" t="s">
        <v>1259</v>
      </c>
      <c r="O261">
        <v>0</v>
      </c>
      <c r="P261" t="s">
        <v>869</v>
      </c>
      <c r="Q261" t="s">
        <v>125</v>
      </c>
      <c r="R261" t="s">
        <v>870</v>
      </c>
      <c r="S261" t="s">
        <v>871</v>
      </c>
      <c r="T261" t="s">
        <v>1152</v>
      </c>
      <c r="U261" t="s">
        <v>1152</v>
      </c>
      <c r="V261" t="s">
        <v>1013</v>
      </c>
      <c r="Y261" t="s">
        <v>910</v>
      </c>
      <c r="Z261" t="s">
        <v>861</v>
      </c>
      <c r="AA261" t="s">
        <v>875</v>
      </c>
      <c r="AJ261" t="s">
        <v>861</v>
      </c>
      <c r="AK261" t="s">
        <v>880</v>
      </c>
      <c r="AL261" t="s">
        <v>881</v>
      </c>
      <c r="AM261" t="s">
        <v>882</v>
      </c>
      <c r="AP261" t="s">
        <v>965</v>
      </c>
      <c r="AQ261" t="s">
        <v>1470</v>
      </c>
      <c r="AS261" t="s">
        <v>1470</v>
      </c>
      <c r="AT261" t="s">
        <v>1470</v>
      </c>
      <c r="AU261" t="s">
        <v>886</v>
      </c>
      <c r="AW261" t="s">
        <v>1471</v>
      </c>
      <c r="AX261" t="s">
        <v>1152</v>
      </c>
      <c r="AZ261" t="s">
        <v>1451</v>
      </c>
      <c r="BA261" t="s">
        <v>2253</v>
      </c>
      <c r="BK261" t="s">
        <v>1134</v>
      </c>
      <c r="BL261">
        <v>1682</v>
      </c>
      <c r="BM261">
        <v>69.959999999999994</v>
      </c>
      <c r="BN261">
        <v>14380.46</v>
      </c>
      <c r="BO261">
        <v>27308.32</v>
      </c>
      <c r="BP261">
        <v>27308.32</v>
      </c>
      <c r="BQ261">
        <v>30197.99</v>
      </c>
      <c r="BR261">
        <v>2889.65</v>
      </c>
      <c r="BS261" t="s">
        <v>892</v>
      </c>
      <c r="BT261">
        <v>2886</v>
      </c>
      <c r="BV261" t="s">
        <v>1472</v>
      </c>
      <c r="BW261" t="s">
        <v>1473</v>
      </c>
      <c r="BX261" t="s">
        <v>895</v>
      </c>
      <c r="BY261" t="s">
        <v>2781</v>
      </c>
      <c r="CD261" t="s">
        <v>2785</v>
      </c>
      <c r="CG261" t="s">
        <v>2786</v>
      </c>
      <c r="CH261" t="s">
        <v>994</v>
      </c>
      <c r="CI261" t="s">
        <v>2786</v>
      </c>
      <c r="CJ261" t="s">
        <v>2786</v>
      </c>
      <c r="CP261" t="s">
        <v>1275</v>
      </c>
      <c r="CT261" t="s">
        <v>901</v>
      </c>
    </row>
    <row r="262" spans="1:98" x14ac:dyDescent="0.15">
      <c r="A262" t="s">
        <v>861</v>
      </c>
      <c r="B262" t="s">
        <v>862</v>
      </c>
      <c r="C262" t="s">
        <v>655</v>
      </c>
      <c r="D262" t="s">
        <v>655</v>
      </c>
      <c r="E262" t="s">
        <v>655</v>
      </c>
      <c r="F262" t="s">
        <v>863</v>
      </c>
      <c r="G262" t="s">
        <v>864</v>
      </c>
      <c r="H262" t="s">
        <v>863</v>
      </c>
      <c r="I262" t="s">
        <v>654</v>
      </c>
      <c r="J262" t="s">
        <v>2787</v>
      </c>
      <c r="K262" t="s">
        <v>977</v>
      </c>
      <c r="L262" t="s">
        <v>868</v>
      </c>
      <c r="N262" t="s">
        <v>861</v>
      </c>
      <c r="O262">
        <v>0</v>
      </c>
      <c r="P262" t="s">
        <v>869</v>
      </c>
      <c r="Q262" t="s">
        <v>125</v>
      </c>
      <c r="R262" t="s">
        <v>870</v>
      </c>
      <c r="S262" t="s">
        <v>871</v>
      </c>
      <c r="T262" t="s">
        <v>1152</v>
      </c>
      <c r="U262" t="s">
        <v>1152</v>
      </c>
      <c r="V262" t="s">
        <v>1013</v>
      </c>
      <c r="Y262" t="s">
        <v>910</v>
      </c>
      <c r="Z262" t="s">
        <v>861</v>
      </c>
      <c r="AA262" t="s">
        <v>958</v>
      </c>
      <c r="AB262" t="s">
        <v>2788</v>
      </c>
      <c r="AJ262" t="s">
        <v>861</v>
      </c>
      <c r="AK262" t="s">
        <v>880</v>
      </c>
      <c r="AL262" t="s">
        <v>881</v>
      </c>
      <c r="AM262" t="s">
        <v>882</v>
      </c>
      <c r="AP262" t="s">
        <v>965</v>
      </c>
      <c r="AQ262" t="s">
        <v>1470</v>
      </c>
      <c r="AS262" t="s">
        <v>1470</v>
      </c>
      <c r="AT262" t="s">
        <v>1470</v>
      </c>
      <c r="AU262" t="s">
        <v>886</v>
      </c>
      <c r="AW262" t="s">
        <v>1471</v>
      </c>
      <c r="AX262" t="s">
        <v>1152</v>
      </c>
      <c r="AZ262" t="s">
        <v>1451</v>
      </c>
      <c r="BA262" t="s">
        <v>2253</v>
      </c>
      <c r="BK262" t="s">
        <v>1134</v>
      </c>
      <c r="BL262">
        <v>268</v>
      </c>
      <c r="BM262">
        <v>61.56</v>
      </c>
      <c r="BN262">
        <v>6390</v>
      </c>
      <c r="BO262">
        <v>15785.4</v>
      </c>
      <c r="BP262">
        <v>15785.4</v>
      </c>
      <c r="BQ262">
        <v>18673.669999999998</v>
      </c>
      <c r="BR262">
        <v>2888.26</v>
      </c>
      <c r="BS262" t="s">
        <v>892</v>
      </c>
      <c r="BT262">
        <v>2886</v>
      </c>
      <c r="BV262" t="s">
        <v>1472</v>
      </c>
      <c r="BW262" t="s">
        <v>1473</v>
      </c>
      <c r="BX262" t="s">
        <v>895</v>
      </c>
      <c r="BY262" t="s">
        <v>1697</v>
      </c>
      <c r="CD262" t="s">
        <v>1701</v>
      </c>
      <c r="CG262" t="s">
        <v>2789</v>
      </c>
      <c r="CH262" t="s">
        <v>994</v>
      </c>
      <c r="CI262" t="s">
        <v>2789</v>
      </c>
      <c r="CJ262" t="s">
        <v>2789</v>
      </c>
      <c r="CP262" t="s">
        <v>1275</v>
      </c>
      <c r="CT262" t="s">
        <v>901</v>
      </c>
    </row>
    <row r="263" spans="1:98" x14ac:dyDescent="0.15">
      <c r="A263" t="s">
        <v>861</v>
      </c>
      <c r="B263" t="s">
        <v>862</v>
      </c>
      <c r="C263" t="s">
        <v>623</v>
      </c>
      <c r="D263" t="s">
        <v>623</v>
      </c>
      <c r="E263" t="s">
        <v>623</v>
      </c>
      <c r="F263" t="s">
        <v>863</v>
      </c>
      <c r="G263" t="s">
        <v>864</v>
      </c>
      <c r="H263" t="s">
        <v>863</v>
      </c>
      <c r="I263" t="s">
        <v>622</v>
      </c>
      <c r="J263" t="s">
        <v>2790</v>
      </c>
      <c r="K263" t="s">
        <v>1481</v>
      </c>
      <c r="L263" t="s">
        <v>868</v>
      </c>
      <c r="N263" t="s">
        <v>861</v>
      </c>
      <c r="O263">
        <v>0</v>
      </c>
      <c r="P263" t="s">
        <v>869</v>
      </c>
      <c r="Q263" t="s">
        <v>125</v>
      </c>
      <c r="R263" t="s">
        <v>870</v>
      </c>
      <c r="S263" t="s">
        <v>871</v>
      </c>
      <c r="T263" t="s">
        <v>2791</v>
      </c>
      <c r="U263" t="s">
        <v>2791</v>
      </c>
      <c r="V263" t="s">
        <v>936</v>
      </c>
      <c r="Y263" t="s">
        <v>874</v>
      </c>
      <c r="Z263" t="s">
        <v>861</v>
      </c>
      <c r="AA263" t="s">
        <v>875</v>
      </c>
      <c r="AB263" t="s">
        <v>2792</v>
      </c>
      <c r="AJ263" t="s">
        <v>861</v>
      </c>
      <c r="AK263" t="s">
        <v>880</v>
      </c>
      <c r="AL263" t="s">
        <v>881</v>
      </c>
      <c r="AM263" t="s">
        <v>882</v>
      </c>
      <c r="AP263" t="s">
        <v>1526</v>
      </c>
      <c r="AQ263" t="s">
        <v>1471</v>
      </c>
      <c r="AS263" t="s">
        <v>1471</v>
      </c>
      <c r="AT263" t="s">
        <v>1471</v>
      </c>
      <c r="AU263" t="s">
        <v>886</v>
      </c>
      <c r="AW263" t="s">
        <v>2723</v>
      </c>
      <c r="AX263" t="s">
        <v>1233</v>
      </c>
      <c r="AZ263" t="s">
        <v>1017</v>
      </c>
      <c r="BA263" t="s">
        <v>1274</v>
      </c>
      <c r="BK263" t="s">
        <v>1134</v>
      </c>
      <c r="BL263">
        <v>1398</v>
      </c>
      <c r="BM263">
        <v>67.459999999999994</v>
      </c>
      <c r="BN263">
        <v>10480</v>
      </c>
      <c r="BO263">
        <v>24175.58</v>
      </c>
      <c r="BP263">
        <v>24175.58</v>
      </c>
      <c r="BQ263">
        <v>27011</v>
      </c>
      <c r="BR263">
        <v>2835.43</v>
      </c>
      <c r="BS263" t="s">
        <v>892</v>
      </c>
      <c r="BT263">
        <v>2832.16</v>
      </c>
      <c r="BV263" t="s">
        <v>2793</v>
      </c>
      <c r="BW263" t="s">
        <v>2794</v>
      </c>
      <c r="BX263" t="s">
        <v>895</v>
      </c>
      <c r="BY263" t="s">
        <v>2795</v>
      </c>
      <c r="CD263" t="s">
        <v>2796</v>
      </c>
      <c r="CG263" t="s">
        <v>2790</v>
      </c>
      <c r="CH263" t="s">
        <v>1495</v>
      </c>
      <c r="CI263" t="s">
        <v>2797</v>
      </c>
      <c r="CJ263" t="s">
        <v>2797</v>
      </c>
      <c r="CP263" t="s">
        <v>936</v>
      </c>
      <c r="CT263" t="s">
        <v>901</v>
      </c>
    </row>
    <row r="264" spans="1:98" x14ac:dyDescent="0.15">
      <c r="A264" t="s">
        <v>861</v>
      </c>
      <c r="B264" t="s">
        <v>862</v>
      </c>
      <c r="C264" t="s">
        <v>613</v>
      </c>
      <c r="D264" t="s">
        <v>613</v>
      </c>
      <c r="E264" t="s">
        <v>613</v>
      </c>
      <c r="F264" t="s">
        <v>863</v>
      </c>
      <c r="G264" t="s">
        <v>864</v>
      </c>
      <c r="H264" t="s">
        <v>863</v>
      </c>
      <c r="I264" t="s">
        <v>612</v>
      </c>
      <c r="J264" t="s">
        <v>2798</v>
      </c>
      <c r="K264" t="s">
        <v>1481</v>
      </c>
      <c r="L264" t="s">
        <v>868</v>
      </c>
      <c r="N264" t="s">
        <v>861</v>
      </c>
      <c r="O264">
        <v>0</v>
      </c>
      <c r="P264" t="s">
        <v>869</v>
      </c>
      <c r="Q264" t="s">
        <v>125</v>
      </c>
      <c r="R264" t="s">
        <v>870</v>
      </c>
      <c r="S264" t="s">
        <v>871</v>
      </c>
      <c r="T264" t="s">
        <v>2791</v>
      </c>
      <c r="U264" t="s">
        <v>2791</v>
      </c>
      <c r="V264" t="s">
        <v>936</v>
      </c>
      <c r="Y264" t="s">
        <v>874</v>
      </c>
      <c r="Z264" t="s">
        <v>861</v>
      </c>
      <c r="AA264" t="s">
        <v>958</v>
      </c>
      <c r="AB264" t="s">
        <v>2799</v>
      </c>
      <c r="AJ264" t="s">
        <v>861</v>
      </c>
      <c r="AK264" t="s">
        <v>880</v>
      </c>
      <c r="AL264" t="s">
        <v>881</v>
      </c>
      <c r="AM264" t="s">
        <v>882</v>
      </c>
      <c r="AP264" t="s">
        <v>1526</v>
      </c>
      <c r="AQ264" t="s">
        <v>1471</v>
      </c>
      <c r="AS264" t="s">
        <v>1471</v>
      </c>
      <c r="AT264" t="s">
        <v>1471</v>
      </c>
      <c r="AU264" t="s">
        <v>886</v>
      </c>
      <c r="AW264" t="s">
        <v>2723</v>
      </c>
      <c r="AX264" t="s">
        <v>1233</v>
      </c>
      <c r="AZ264" t="s">
        <v>1017</v>
      </c>
      <c r="BA264" t="s">
        <v>1274</v>
      </c>
      <c r="BK264" t="s">
        <v>1134</v>
      </c>
      <c r="BL264">
        <v>974</v>
      </c>
      <c r="BM264">
        <v>64.97</v>
      </c>
      <c r="BN264">
        <v>6672.6</v>
      </c>
      <c r="BO264">
        <v>12539.36</v>
      </c>
      <c r="BP264">
        <v>12539.36</v>
      </c>
      <c r="BQ264">
        <v>15373.37</v>
      </c>
      <c r="BR264">
        <v>2834.02</v>
      </c>
      <c r="BS264" t="s">
        <v>892</v>
      </c>
      <c r="BT264">
        <v>2832.16</v>
      </c>
      <c r="BV264" t="s">
        <v>2793</v>
      </c>
      <c r="BW264" t="s">
        <v>2794</v>
      </c>
      <c r="BX264" t="s">
        <v>895</v>
      </c>
      <c r="BY264" t="s">
        <v>2800</v>
      </c>
      <c r="CD264" t="s">
        <v>2801</v>
      </c>
      <c r="CG264" t="s">
        <v>2798</v>
      </c>
      <c r="CH264" t="s">
        <v>1495</v>
      </c>
      <c r="CI264" t="s">
        <v>2802</v>
      </c>
      <c r="CJ264" t="s">
        <v>2802</v>
      </c>
      <c r="CP264" t="s">
        <v>936</v>
      </c>
      <c r="CT264" t="s">
        <v>901</v>
      </c>
    </row>
    <row r="265" spans="1:98" x14ac:dyDescent="0.15">
      <c r="A265" t="s">
        <v>861</v>
      </c>
      <c r="B265" t="s">
        <v>862</v>
      </c>
      <c r="C265" t="s">
        <v>609</v>
      </c>
      <c r="D265" t="s">
        <v>609</v>
      </c>
      <c r="E265" t="s">
        <v>609</v>
      </c>
      <c r="F265" t="s">
        <v>863</v>
      </c>
      <c r="G265" t="s">
        <v>864</v>
      </c>
      <c r="H265" t="s">
        <v>863</v>
      </c>
      <c r="I265" t="s">
        <v>608</v>
      </c>
      <c r="J265" t="s">
        <v>2803</v>
      </c>
      <c r="K265" t="s">
        <v>1481</v>
      </c>
      <c r="L265" t="s">
        <v>868</v>
      </c>
      <c r="N265" t="s">
        <v>861</v>
      </c>
      <c r="O265">
        <v>0</v>
      </c>
      <c r="P265" t="s">
        <v>869</v>
      </c>
      <c r="Q265" t="s">
        <v>125</v>
      </c>
      <c r="R265" t="s">
        <v>870</v>
      </c>
      <c r="S265" t="s">
        <v>871</v>
      </c>
      <c r="T265" t="s">
        <v>2791</v>
      </c>
      <c r="U265" t="s">
        <v>2791</v>
      </c>
      <c r="V265" t="s">
        <v>936</v>
      </c>
      <c r="Y265" t="s">
        <v>874</v>
      </c>
      <c r="Z265" t="s">
        <v>861</v>
      </c>
      <c r="AA265" t="s">
        <v>958</v>
      </c>
      <c r="AB265" t="s">
        <v>2804</v>
      </c>
      <c r="AJ265" t="s">
        <v>861</v>
      </c>
      <c r="AK265" t="s">
        <v>880</v>
      </c>
      <c r="AL265" t="s">
        <v>881</v>
      </c>
      <c r="AM265" t="s">
        <v>882</v>
      </c>
      <c r="AP265" t="s">
        <v>1526</v>
      </c>
      <c r="AQ265" t="s">
        <v>1471</v>
      </c>
      <c r="AS265" t="s">
        <v>1471</v>
      </c>
      <c r="AT265" t="s">
        <v>1471</v>
      </c>
      <c r="AU265" t="s">
        <v>886</v>
      </c>
      <c r="AW265" t="s">
        <v>2723</v>
      </c>
      <c r="AX265" t="s">
        <v>1274</v>
      </c>
      <c r="AZ265" t="s">
        <v>1017</v>
      </c>
      <c r="BA265" t="s">
        <v>1016</v>
      </c>
      <c r="BK265" t="s">
        <v>1134</v>
      </c>
      <c r="BL265">
        <v>612</v>
      </c>
      <c r="BM265">
        <v>66.94</v>
      </c>
      <c r="BN265">
        <v>7718</v>
      </c>
      <c r="BO265">
        <v>14783</v>
      </c>
      <c r="BP265">
        <v>14783</v>
      </c>
      <c r="BQ265">
        <v>17617.27</v>
      </c>
      <c r="BR265">
        <v>2834.29</v>
      </c>
      <c r="BS265" t="s">
        <v>892</v>
      </c>
      <c r="BT265">
        <v>2832.16</v>
      </c>
      <c r="BV265" t="s">
        <v>2793</v>
      </c>
      <c r="BW265" t="s">
        <v>2794</v>
      </c>
      <c r="BX265" t="s">
        <v>895</v>
      </c>
      <c r="BY265" t="s">
        <v>2805</v>
      </c>
      <c r="CD265" t="s">
        <v>2806</v>
      </c>
      <c r="CG265" t="s">
        <v>2803</v>
      </c>
      <c r="CH265" t="s">
        <v>1495</v>
      </c>
      <c r="CI265" t="s">
        <v>2807</v>
      </c>
      <c r="CJ265" t="s">
        <v>2807</v>
      </c>
      <c r="CP265" t="s">
        <v>936</v>
      </c>
      <c r="CT265" t="s">
        <v>901</v>
      </c>
    </row>
    <row r="266" spans="1:98" x14ac:dyDescent="0.15">
      <c r="A266" t="s">
        <v>861</v>
      </c>
      <c r="B266" t="s">
        <v>862</v>
      </c>
      <c r="C266" t="s">
        <v>611</v>
      </c>
      <c r="D266" t="s">
        <v>611</v>
      </c>
      <c r="E266" t="s">
        <v>611</v>
      </c>
      <c r="F266" t="s">
        <v>863</v>
      </c>
      <c r="G266" t="s">
        <v>864</v>
      </c>
      <c r="H266" t="s">
        <v>863</v>
      </c>
      <c r="I266" t="s">
        <v>610</v>
      </c>
      <c r="J266" t="s">
        <v>2808</v>
      </c>
      <c r="K266" t="s">
        <v>1481</v>
      </c>
      <c r="L266" t="s">
        <v>868</v>
      </c>
      <c r="N266" t="s">
        <v>1259</v>
      </c>
      <c r="O266">
        <v>0</v>
      </c>
      <c r="P266" t="s">
        <v>869</v>
      </c>
      <c r="Q266" t="s">
        <v>125</v>
      </c>
      <c r="R266" t="s">
        <v>870</v>
      </c>
      <c r="S266" t="s">
        <v>871</v>
      </c>
      <c r="T266" t="s">
        <v>2791</v>
      </c>
      <c r="U266" t="s">
        <v>2791</v>
      </c>
      <c r="V266" t="s">
        <v>936</v>
      </c>
      <c r="Y266" t="s">
        <v>874</v>
      </c>
      <c r="Z266" t="s">
        <v>861</v>
      </c>
      <c r="AA266" t="s">
        <v>875</v>
      </c>
      <c r="AB266" t="s">
        <v>2809</v>
      </c>
      <c r="AJ266" t="s">
        <v>861</v>
      </c>
      <c r="AK266" t="s">
        <v>880</v>
      </c>
      <c r="AL266" t="s">
        <v>881</v>
      </c>
      <c r="AM266" t="s">
        <v>882</v>
      </c>
      <c r="AP266" t="s">
        <v>1526</v>
      </c>
      <c r="AQ266" t="s">
        <v>1471</v>
      </c>
      <c r="AS266" t="s">
        <v>1471</v>
      </c>
      <c r="AT266" t="s">
        <v>1471</v>
      </c>
      <c r="AU266" t="s">
        <v>886</v>
      </c>
      <c r="AW266" t="s">
        <v>2723</v>
      </c>
      <c r="AX266" t="s">
        <v>1274</v>
      </c>
      <c r="AZ266" t="s">
        <v>1017</v>
      </c>
      <c r="BA266" t="s">
        <v>1016</v>
      </c>
      <c r="BK266" t="s">
        <v>1134</v>
      </c>
      <c r="BL266">
        <v>755</v>
      </c>
      <c r="BM266">
        <v>66.86</v>
      </c>
      <c r="BN266">
        <v>16895</v>
      </c>
      <c r="BO266">
        <v>26370.85</v>
      </c>
      <c r="BP266">
        <v>26370.85</v>
      </c>
      <c r="BQ266">
        <v>29206.57</v>
      </c>
      <c r="BR266">
        <v>2835.69</v>
      </c>
      <c r="BS266" t="s">
        <v>892</v>
      </c>
      <c r="BT266">
        <v>2832.16</v>
      </c>
      <c r="BV266" t="s">
        <v>2793</v>
      </c>
      <c r="BW266" t="s">
        <v>2794</v>
      </c>
      <c r="BX266" t="s">
        <v>895</v>
      </c>
      <c r="BY266" t="s">
        <v>2795</v>
      </c>
      <c r="CD266" t="s">
        <v>2796</v>
      </c>
      <c r="CG266" t="s">
        <v>2808</v>
      </c>
      <c r="CH266" t="s">
        <v>1495</v>
      </c>
      <c r="CI266" t="s">
        <v>2810</v>
      </c>
      <c r="CJ266" t="s">
        <v>2810</v>
      </c>
      <c r="CP266" t="s">
        <v>936</v>
      </c>
      <c r="CT266" t="s">
        <v>901</v>
      </c>
    </row>
    <row r="267" spans="1:98" x14ac:dyDescent="0.15">
      <c r="A267" t="s">
        <v>861</v>
      </c>
      <c r="B267" t="s">
        <v>862</v>
      </c>
      <c r="C267" t="s">
        <v>617</v>
      </c>
      <c r="D267" t="s">
        <v>617</v>
      </c>
      <c r="E267" t="s">
        <v>617</v>
      </c>
      <c r="F267" t="s">
        <v>863</v>
      </c>
      <c r="G267" t="s">
        <v>864</v>
      </c>
      <c r="H267" t="s">
        <v>863</v>
      </c>
      <c r="I267" t="s">
        <v>616</v>
      </c>
      <c r="J267" t="s">
        <v>2811</v>
      </c>
      <c r="K267" t="s">
        <v>1481</v>
      </c>
      <c r="L267" t="s">
        <v>868</v>
      </c>
      <c r="N267" t="s">
        <v>861</v>
      </c>
      <c r="O267">
        <v>0</v>
      </c>
      <c r="P267" t="s">
        <v>869</v>
      </c>
      <c r="Q267" t="s">
        <v>125</v>
      </c>
      <c r="R267" t="s">
        <v>870</v>
      </c>
      <c r="S267" t="s">
        <v>871</v>
      </c>
      <c r="T267" t="s">
        <v>2791</v>
      </c>
      <c r="U267" t="s">
        <v>2791</v>
      </c>
      <c r="V267" t="s">
        <v>936</v>
      </c>
      <c r="Y267" t="s">
        <v>874</v>
      </c>
      <c r="Z267" t="s">
        <v>861</v>
      </c>
      <c r="AA267" t="s">
        <v>958</v>
      </c>
      <c r="AB267" t="s">
        <v>2812</v>
      </c>
      <c r="AJ267" t="s">
        <v>861</v>
      </c>
      <c r="AK267" t="s">
        <v>880</v>
      </c>
      <c r="AL267" t="s">
        <v>881</v>
      </c>
      <c r="AM267" t="s">
        <v>882</v>
      </c>
      <c r="AP267" t="s">
        <v>1526</v>
      </c>
      <c r="AQ267" t="s">
        <v>1471</v>
      </c>
      <c r="AS267" t="s">
        <v>1471</v>
      </c>
      <c r="AT267" t="s">
        <v>1471</v>
      </c>
      <c r="AU267" t="s">
        <v>886</v>
      </c>
      <c r="AW267" t="s">
        <v>2723</v>
      </c>
      <c r="AX267" t="s">
        <v>1274</v>
      </c>
      <c r="AZ267" t="s">
        <v>1017</v>
      </c>
      <c r="BA267" t="s">
        <v>1016</v>
      </c>
      <c r="BK267" t="s">
        <v>1134</v>
      </c>
      <c r="BL267">
        <v>857</v>
      </c>
      <c r="BM267">
        <v>65.069999999999993</v>
      </c>
      <c r="BN267">
        <v>9465</v>
      </c>
      <c r="BO267">
        <v>28216.15</v>
      </c>
      <c r="BP267">
        <v>28216.15</v>
      </c>
      <c r="BQ267">
        <v>31052.05</v>
      </c>
      <c r="BR267">
        <v>2835.92</v>
      </c>
      <c r="BS267" t="s">
        <v>892</v>
      </c>
      <c r="BT267">
        <v>2832.16</v>
      </c>
      <c r="BV267" t="s">
        <v>2793</v>
      </c>
      <c r="BW267" t="s">
        <v>2794</v>
      </c>
      <c r="BX267" t="s">
        <v>895</v>
      </c>
      <c r="BY267" t="s">
        <v>2813</v>
      </c>
      <c r="CD267" t="s">
        <v>2814</v>
      </c>
      <c r="CG267" t="s">
        <v>2811</v>
      </c>
      <c r="CH267" t="s">
        <v>1495</v>
      </c>
      <c r="CI267" t="s">
        <v>2815</v>
      </c>
      <c r="CJ267" t="s">
        <v>2815</v>
      </c>
      <c r="CP267" t="s">
        <v>936</v>
      </c>
      <c r="CT267" t="s">
        <v>901</v>
      </c>
    </row>
    <row r="268" spans="1:98" x14ac:dyDescent="0.15">
      <c r="A268" t="s">
        <v>861</v>
      </c>
      <c r="B268" t="s">
        <v>862</v>
      </c>
      <c r="C268" t="s">
        <v>607</v>
      </c>
      <c r="D268" t="s">
        <v>607</v>
      </c>
      <c r="E268" t="s">
        <v>607</v>
      </c>
      <c r="F268" t="s">
        <v>863</v>
      </c>
      <c r="G268" t="s">
        <v>864</v>
      </c>
      <c r="H268" t="s">
        <v>863</v>
      </c>
      <c r="I268" t="s">
        <v>606</v>
      </c>
      <c r="J268" t="s">
        <v>2816</v>
      </c>
      <c r="K268" t="s">
        <v>1481</v>
      </c>
      <c r="L268" t="s">
        <v>868</v>
      </c>
      <c r="N268" t="s">
        <v>1259</v>
      </c>
      <c r="O268">
        <v>0</v>
      </c>
      <c r="P268" t="s">
        <v>869</v>
      </c>
      <c r="Q268" t="s">
        <v>125</v>
      </c>
      <c r="R268" t="s">
        <v>870</v>
      </c>
      <c r="S268" t="s">
        <v>871</v>
      </c>
      <c r="T268" t="s">
        <v>2791</v>
      </c>
      <c r="U268" t="s">
        <v>2791</v>
      </c>
      <c r="V268" t="s">
        <v>936</v>
      </c>
      <c r="Y268" t="s">
        <v>910</v>
      </c>
      <c r="Z268" t="s">
        <v>861</v>
      </c>
      <c r="AA268" t="s">
        <v>958</v>
      </c>
      <c r="AB268" t="s">
        <v>2817</v>
      </c>
      <c r="AJ268" t="s">
        <v>861</v>
      </c>
      <c r="AK268" t="s">
        <v>880</v>
      </c>
      <c r="AL268" t="s">
        <v>881</v>
      </c>
      <c r="AM268" t="s">
        <v>882</v>
      </c>
      <c r="AP268" t="s">
        <v>1526</v>
      </c>
      <c r="AQ268" t="s">
        <v>1471</v>
      </c>
      <c r="AS268" t="s">
        <v>1471</v>
      </c>
      <c r="AT268" t="s">
        <v>1471</v>
      </c>
      <c r="AU268" t="s">
        <v>886</v>
      </c>
      <c r="AW268" t="s">
        <v>2723</v>
      </c>
      <c r="AX268" t="s">
        <v>1274</v>
      </c>
      <c r="AZ268" t="s">
        <v>1017</v>
      </c>
      <c r="BA268" t="s">
        <v>1016</v>
      </c>
      <c r="BK268" t="s">
        <v>1134</v>
      </c>
      <c r="BL268">
        <v>941</v>
      </c>
      <c r="BM268">
        <v>63.89</v>
      </c>
      <c r="BN268">
        <v>12967</v>
      </c>
      <c r="BO268">
        <v>35439.089999999997</v>
      </c>
      <c r="BP268">
        <v>35439.089999999997</v>
      </c>
      <c r="BQ268">
        <v>38275.9</v>
      </c>
      <c r="BR268">
        <v>2836.79</v>
      </c>
      <c r="BS268" t="s">
        <v>892</v>
      </c>
      <c r="BT268">
        <v>2832.16</v>
      </c>
      <c r="BV268" t="s">
        <v>2793</v>
      </c>
      <c r="BW268" t="s">
        <v>2794</v>
      </c>
      <c r="BX268" t="s">
        <v>1530</v>
      </c>
      <c r="BY268" t="s">
        <v>2813</v>
      </c>
      <c r="CD268" t="s">
        <v>2814</v>
      </c>
      <c r="CG268" t="s">
        <v>2816</v>
      </c>
      <c r="CH268" t="s">
        <v>1495</v>
      </c>
      <c r="CI268" t="s">
        <v>2818</v>
      </c>
      <c r="CJ268" t="s">
        <v>2818</v>
      </c>
      <c r="CP268" t="s">
        <v>936</v>
      </c>
      <c r="CT268" t="s">
        <v>901</v>
      </c>
    </row>
    <row r="269" spans="1:98" x14ac:dyDescent="0.15">
      <c r="A269" t="s">
        <v>861</v>
      </c>
      <c r="B269" t="s">
        <v>862</v>
      </c>
      <c r="C269" t="s">
        <v>661</v>
      </c>
      <c r="D269" t="s">
        <v>661</v>
      </c>
      <c r="E269" t="s">
        <v>661</v>
      </c>
      <c r="F269" t="s">
        <v>863</v>
      </c>
      <c r="G269" t="s">
        <v>864</v>
      </c>
      <c r="H269" t="s">
        <v>863</v>
      </c>
      <c r="I269" t="s">
        <v>660</v>
      </c>
      <c r="J269" t="s">
        <v>2819</v>
      </c>
      <c r="K269" t="s">
        <v>1481</v>
      </c>
      <c r="L269" t="s">
        <v>868</v>
      </c>
      <c r="N269" t="s">
        <v>861</v>
      </c>
      <c r="O269">
        <v>0</v>
      </c>
      <c r="P269" t="s">
        <v>869</v>
      </c>
      <c r="Q269" t="s">
        <v>125</v>
      </c>
      <c r="R269" t="s">
        <v>870</v>
      </c>
      <c r="S269" t="s">
        <v>871</v>
      </c>
      <c r="T269" t="s">
        <v>2791</v>
      </c>
      <c r="U269" t="s">
        <v>2791</v>
      </c>
      <c r="V269" t="s">
        <v>936</v>
      </c>
      <c r="Y269" t="s">
        <v>874</v>
      </c>
      <c r="Z269" t="s">
        <v>861</v>
      </c>
      <c r="AA269" t="s">
        <v>958</v>
      </c>
      <c r="AB269" t="s">
        <v>2820</v>
      </c>
      <c r="AJ269" t="s">
        <v>861</v>
      </c>
      <c r="AK269" t="s">
        <v>880</v>
      </c>
      <c r="AL269" t="s">
        <v>881</v>
      </c>
      <c r="AM269" t="s">
        <v>882</v>
      </c>
      <c r="AP269" t="s">
        <v>1526</v>
      </c>
      <c r="AQ269" t="s">
        <v>1471</v>
      </c>
      <c r="AS269" t="s">
        <v>1471</v>
      </c>
      <c r="AT269" t="s">
        <v>1471</v>
      </c>
      <c r="AU269" t="s">
        <v>886</v>
      </c>
      <c r="AW269" t="s">
        <v>2723</v>
      </c>
      <c r="AX269" t="s">
        <v>1274</v>
      </c>
      <c r="AZ269" t="s">
        <v>1017</v>
      </c>
      <c r="BA269" t="s">
        <v>1016</v>
      </c>
      <c r="BK269" t="s">
        <v>1134</v>
      </c>
      <c r="BL269">
        <v>606</v>
      </c>
      <c r="BM269">
        <v>66.05</v>
      </c>
      <c r="BN269">
        <v>7899.5</v>
      </c>
      <c r="BO269">
        <v>18712.5</v>
      </c>
      <c r="BP269">
        <v>18712.5</v>
      </c>
      <c r="BQ269">
        <v>21547.27</v>
      </c>
      <c r="BR269">
        <v>2834.77</v>
      </c>
      <c r="BS269" t="s">
        <v>892</v>
      </c>
      <c r="BT269">
        <v>2832.16</v>
      </c>
      <c r="BV269" t="s">
        <v>2793</v>
      </c>
      <c r="BW269" t="s">
        <v>2794</v>
      </c>
      <c r="BX269" t="s">
        <v>895</v>
      </c>
      <c r="BY269" t="s">
        <v>2813</v>
      </c>
      <c r="CD269" t="s">
        <v>2821</v>
      </c>
      <c r="CG269" t="s">
        <v>2819</v>
      </c>
      <c r="CH269" t="s">
        <v>1495</v>
      </c>
      <c r="CI269" t="s">
        <v>2822</v>
      </c>
      <c r="CJ269" t="s">
        <v>2822</v>
      </c>
      <c r="CP269" t="s">
        <v>936</v>
      </c>
      <c r="CT269" t="s">
        <v>901</v>
      </c>
    </row>
    <row r="270" spans="1:98" x14ac:dyDescent="0.15">
      <c r="A270" t="s">
        <v>861</v>
      </c>
      <c r="B270" t="s">
        <v>862</v>
      </c>
      <c r="C270" t="s">
        <v>615</v>
      </c>
      <c r="D270" t="s">
        <v>615</v>
      </c>
      <c r="E270" t="s">
        <v>615</v>
      </c>
      <c r="F270" t="s">
        <v>863</v>
      </c>
      <c r="G270" t="s">
        <v>864</v>
      </c>
      <c r="H270" t="s">
        <v>863</v>
      </c>
      <c r="I270" t="s">
        <v>614</v>
      </c>
      <c r="J270" t="s">
        <v>2823</v>
      </c>
      <c r="K270" t="s">
        <v>1481</v>
      </c>
      <c r="L270" t="s">
        <v>868</v>
      </c>
      <c r="N270" t="s">
        <v>861</v>
      </c>
      <c r="O270">
        <v>0</v>
      </c>
      <c r="P270" t="s">
        <v>869</v>
      </c>
      <c r="Q270" t="s">
        <v>125</v>
      </c>
      <c r="R270" t="s">
        <v>870</v>
      </c>
      <c r="S270" t="s">
        <v>871</v>
      </c>
      <c r="T270" t="s">
        <v>2791</v>
      </c>
      <c r="U270" t="s">
        <v>2791</v>
      </c>
      <c r="V270" t="s">
        <v>936</v>
      </c>
      <c r="Y270" t="s">
        <v>874</v>
      </c>
      <c r="Z270" t="s">
        <v>861</v>
      </c>
      <c r="AA270" t="s">
        <v>958</v>
      </c>
      <c r="AB270" t="s">
        <v>2812</v>
      </c>
      <c r="AJ270" t="s">
        <v>861</v>
      </c>
      <c r="AK270" t="s">
        <v>880</v>
      </c>
      <c r="AL270" t="s">
        <v>881</v>
      </c>
      <c r="AM270" t="s">
        <v>882</v>
      </c>
      <c r="AP270" t="s">
        <v>1526</v>
      </c>
      <c r="AQ270" t="s">
        <v>1471</v>
      </c>
      <c r="AS270" t="s">
        <v>1471</v>
      </c>
      <c r="AT270" t="s">
        <v>1471</v>
      </c>
      <c r="AU270" t="s">
        <v>886</v>
      </c>
      <c r="AW270" t="s">
        <v>2723</v>
      </c>
      <c r="AX270" t="s">
        <v>1274</v>
      </c>
      <c r="AZ270" t="s">
        <v>1017</v>
      </c>
      <c r="BA270" t="s">
        <v>1016</v>
      </c>
      <c r="BK270" t="s">
        <v>1134</v>
      </c>
      <c r="BL270">
        <v>1106</v>
      </c>
      <c r="BM270">
        <v>66.52</v>
      </c>
      <c r="BN270">
        <v>16487.240000000002</v>
      </c>
      <c r="BO270">
        <v>16660.28</v>
      </c>
      <c r="BP270">
        <v>16660.28</v>
      </c>
      <c r="BQ270">
        <v>19494.79</v>
      </c>
      <c r="BR270">
        <v>2834.52</v>
      </c>
      <c r="BS270" t="s">
        <v>892</v>
      </c>
      <c r="BT270">
        <v>2832.16</v>
      </c>
      <c r="BV270" t="s">
        <v>2793</v>
      </c>
      <c r="BW270" t="s">
        <v>2794</v>
      </c>
      <c r="BX270" t="s">
        <v>895</v>
      </c>
      <c r="BY270" t="s">
        <v>2824</v>
      </c>
      <c r="CD270" t="s">
        <v>2825</v>
      </c>
      <c r="CG270" t="s">
        <v>2823</v>
      </c>
      <c r="CH270" t="s">
        <v>1495</v>
      </c>
      <c r="CI270" t="s">
        <v>2826</v>
      </c>
      <c r="CJ270" t="s">
        <v>2826</v>
      </c>
      <c r="CP270" t="s">
        <v>936</v>
      </c>
      <c r="CT270" t="s">
        <v>901</v>
      </c>
    </row>
    <row r="271" spans="1:98" x14ac:dyDescent="0.15">
      <c r="A271" t="s">
        <v>861</v>
      </c>
      <c r="B271" t="s">
        <v>862</v>
      </c>
      <c r="C271" t="s">
        <v>520</v>
      </c>
      <c r="D271" t="s">
        <v>520</v>
      </c>
      <c r="E271" t="s">
        <v>520</v>
      </c>
      <c r="F271" t="s">
        <v>863</v>
      </c>
      <c r="G271" t="s">
        <v>864</v>
      </c>
      <c r="H271" t="s">
        <v>916</v>
      </c>
      <c r="I271" t="s">
        <v>519</v>
      </c>
      <c r="J271" t="s">
        <v>2827</v>
      </c>
      <c r="K271" t="s">
        <v>1481</v>
      </c>
      <c r="L271" t="s">
        <v>868</v>
      </c>
      <c r="N271" t="s">
        <v>861</v>
      </c>
      <c r="O271">
        <v>0</v>
      </c>
      <c r="P271" t="s">
        <v>869</v>
      </c>
      <c r="Q271" t="s">
        <v>125</v>
      </c>
      <c r="R271" t="s">
        <v>870</v>
      </c>
      <c r="S271" t="s">
        <v>871</v>
      </c>
      <c r="T271" t="s">
        <v>2828</v>
      </c>
      <c r="U271" t="s">
        <v>2828</v>
      </c>
      <c r="V271" t="s">
        <v>936</v>
      </c>
      <c r="Y271" t="s">
        <v>874</v>
      </c>
      <c r="Z271" t="s">
        <v>861</v>
      </c>
      <c r="AA271" t="s">
        <v>958</v>
      </c>
      <c r="AB271" t="s">
        <v>2829</v>
      </c>
      <c r="AD271" t="s">
        <v>923</v>
      </c>
      <c r="AE271" t="s">
        <v>2830</v>
      </c>
      <c r="AJ271" t="s">
        <v>861</v>
      </c>
      <c r="AK271" t="s">
        <v>880</v>
      </c>
      <c r="AL271" t="s">
        <v>881</v>
      </c>
      <c r="AM271" t="s">
        <v>882</v>
      </c>
      <c r="AP271" t="s">
        <v>1425</v>
      </c>
      <c r="AQ271" t="s">
        <v>2755</v>
      </c>
      <c r="AS271" t="s">
        <v>2755</v>
      </c>
      <c r="AT271" t="s">
        <v>2755</v>
      </c>
      <c r="AU271" t="s">
        <v>886</v>
      </c>
      <c r="AW271" t="s">
        <v>1277</v>
      </c>
      <c r="AX271" t="s">
        <v>1018</v>
      </c>
      <c r="AZ271" t="s">
        <v>929</v>
      </c>
      <c r="BA271" t="s">
        <v>2756</v>
      </c>
      <c r="BK271" t="s">
        <v>1134</v>
      </c>
      <c r="BL271">
        <v>1121</v>
      </c>
      <c r="BM271">
        <v>68.45</v>
      </c>
      <c r="BN271">
        <v>9810.2999999999993</v>
      </c>
      <c r="BO271">
        <v>27151.71</v>
      </c>
      <c r="BP271">
        <v>27151.71</v>
      </c>
      <c r="BQ271">
        <v>29987.49</v>
      </c>
      <c r="BR271">
        <v>2835.79</v>
      </c>
      <c r="BS271" t="s">
        <v>892</v>
      </c>
      <c r="BT271">
        <v>2832.16</v>
      </c>
      <c r="BV271" t="s">
        <v>2793</v>
      </c>
      <c r="BW271" t="s">
        <v>2794</v>
      </c>
      <c r="BX271" t="s">
        <v>895</v>
      </c>
      <c r="BY271" t="s">
        <v>2824</v>
      </c>
      <c r="CD271" t="s">
        <v>2831</v>
      </c>
      <c r="CG271" t="s">
        <v>2827</v>
      </c>
      <c r="CH271" t="s">
        <v>1495</v>
      </c>
      <c r="CI271" t="s">
        <v>2832</v>
      </c>
      <c r="CJ271" t="s">
        <v>2832</v>
      </c>
      <c r="CP271" t="s">
        <v>936</v>
      </c>
      <c r="CT271" t="s">
        <v>901</v>
      </c>
    </row>
    <row r="272" spans="1:98" x14ac:dyDescent="0.15">
      <c r="A272" t="s">
        <v>861</v>
      </c>
      <c r="B272" t="s">
        <v>862</v>
      </c>
      <c r="C272" t="s">
        <v>526</v>
      </c>
      <c r="D272" t="s">
        <v>526</v>
      </c>
      <c r="E272" t="s">
        <v>526</v>
      </c>
      <c r="F272" t="s">
        <v>863</v>
      </c>
      <c r="G272" t="s">
        <v>864</v>
      </c>
      <c r="H272" t="s">
        <v>916</v>
      </c>
      <c r="I272" t="s">
        <v>525</v>
      </c>
      <c r="J272" t="s">
        <v>2833</v>
      </c>
      <c r="K272" t="s">
        <v>1481</v>
      </c>
      <c r="L272" t="s">
        <v>868</v>
      </c>
      <c r="N272" t="s">
        <v>861</v>
      </c>
      <c r="O272">
        <v>0</v>
      </c>
      <c r="P272" t="s">
        <v>869</v>
      </c>
      <c r="Q272" t="s">
        <v>125</v>
      </c>
      <c r="R272" t="s">
        <v>870</v>
      </c>
      <c r="S272" t="s">
        <v>871</v>
      </c>
      <c r="T272" t="s">
        <v>2828</v>
      </c>
      <c r="U272" t="s">
        <v>2828</v>
      </c>
      <c r="V272" t="s">
        <v>936</v>
      </c>
      <c r="Y272" t="s">
        <v>874</v>
      </c>
      <c r="Z272" t="s">
        <v>861</v>
      </c>
      <c r="AA272" t="s">
        <v>958</v>
      </c>
      <c r="AB272" t="s">
        <v>2834</v>
      </c>
      <c r="AD272" t="s">
        <v>923</v>
      </c>
      <c r="AE272" t="s">
        <v>2835</v>
      </c>
      <c r="AJ272" t="s">
        <v>861</v>
      </c>
      <c r="AK272" t="s">
        <v>880</v>
      </c>
      <c r="AL272" t="s">
        <v>881</v>
      </c>
      <c r="AM272" t="s">
        <v>882</v>
      </c>
      <c r="AP272" t="s">
        <v>1425</v>
      </c>
      <c r="AQ272" t="s">
        <v>2755</v>
      </c>
      <c r="AS272" t="s">
        <v>2755</v>
      </c>
      <c r="AT272" t="s">
        <v>2755</v>
      </c>
      <c r="AU272" t="s">
        <v>886</v>
      </c>
      <c r="AW272" t="s">
        <v>1277</v>
      </c>
      <c r="AX272" t="s">
        <v>2756</v>
      </c>
      <c r="AZ272" t="s">
        <v>929</v>
      </c>
      <c r="BA272" t="s">
        <v>2836</v>
      </c>
      <c r="BK272" t="s">
        <v>1134</v>
      </c>
      <c r="BL272">
        <v>784</v>
      </c>
      <c r="BM272">
        <v>65.040000000000006</v>
      </c>
      <c r="BN272">
        <v>9809</v>
      </c>
      <c r="BO272">
        <v>25931.34</v>
      </c>
      <c r="BP272">
        <v>25931.34</v>
      </c>
      <c r="BQ272">
        <v>28766.98</v>
      </c>
      <c r="BR272">
        <v>2835.64</v>
      </c>
      <c r="BS272" t="s">
        <v>892</v>
      </c>
      <c r="BT272">
        <v>2832.16</v>
      </c>
      <c r="BV272" t="s">
        <v>2793</v>
      </c>
      <c r="BW272" t="s">
        <v>2794</v>
      </c>
      <c r="BX272" t="s">
        <v>895</v>
      </c>
      <c r="BY272" t="s">
        <v>2824</v>
      </c>
      <c r="CD272" t="s">
        <v>2831</v>
      </c>
      <c r="CG272" t="s">
        <v>2833</v>
      </c>
      <c r="CH272" t="s">
        <v>1495</v>
      </c>
      <c r="CI272" t="s">
        <v>2837</v>
      </c>
      <c r="CJ272" t="s">
        <v>2837</v>
      </c>
      <c r="CP272" t="s">
        <v>1128</v>
      </c>
      <c r="CT272" t="s">
        <v>901</v>
      </c>
    </row>
    <row r="273" spans="1:98" x14ac:dyDescent="0.15">
      <c r="A273" t="s">
        <v>861</v>
      </c>
      <c r="B273" t="s">
        <v>862</v>
      </c>
      <c r="C273" t="s">
        <v>518</v>
      </c>
      <c r="D273" t="s">
        <v>518</v>
      </c>
      <c r="E273" t="s">
        <v>518</v>
      </c>
      <c r="F273" t="s">
        <v>863</v>
      </c>
      <c r="G273" t="s">
        <v>864</v>
      </c>
      <c r="H273" t="s">
        <v>916</v>
      </c>
      <c r="I273" t="s">
        <v>517</v>
      </c>
      <c r="J273" t="s">
        <v>2838</v>
      </c>
      <c r="K273" t="s">
        <v>1481</v>
      </c>
      <c r="L273" t="s">
        <v>868</v>
      </c>
      <c r="N273" t="s">
        <v>861</v>
      </c>
      <c r="O273">
        <v>0</v>
      </c>
      <c r="P273" t="s">
        <v>869</v>
      </c>
      <c r="Q273" t="s">
        <v>125</v>
      </c>
      <c r="R273" t="s">
        <v>870</v>
      </c>
      <c r="S273" t="s">
        <v>871</v>
      </c>
      <c r="T273" t="s">
        <v>2828</v>
      </c>
      <c r="U273" t="s">
        <v>2828</v>
      </c>
      <c r="V273" t="s">
        <v>936</v>
      </c>
      <c r="Y273" t="s">
        <v>874</v>
      </c>
      <c r="Z273" t="s">
        <v>861</v>
      </c>
      <c r="AA273" t="s">
        <v>958</v>
      </c>
      <c r="AB273" t="s">
        <v>2839</v>
      </c>
      <c r="AD273" t="s">
        <v>923</v>
      </c>
      <c r="AE273" t="s">
        <v>2840</v>
      </c>
      <c r="AJ273" t="s">
        <v>861</v>
      </c>
      <c r="AK273" t="s">
        <v>880</v>
      </c>
      <c r="AL273" t="s">
        <v>881</v>
      </c>
      <c r="AM273" t="s">
        <v>882</v>
      </c>
      <c r="AP273" t="s">
        <v>1425</v>
      </c>
      <c r="AQ273" t="s">
        <v>2755</v>
      </c>
      <c r="AS273" t="s">
        <v>2755</v>
      </c>
      <c r="AT273" t="s">
        <v>2755</v>
      </c>
      <c r="AU273" t="s">
        <v>886</v>
      </c>
      <c r="AW273" t="s">
        <v>1277</v>
      </c>
      <c r="AX273" t="s">
        <v>2756</v>
      </c>
      <c r="AZ273" t="s">
        <v>929</v>
      </c>
      <c r="BA273" t="s">
        <v>2836</v>
      </c>
      <c r="BK273" t="s">
        <v>1134</v>
      </c>
      <c r="BL273">
        <v>528</v>
      </c>
      <c r="BM273">
        <v>65.709999999999994</v>
      </c>
      <c r="BN273">
        <v>10965.25</v>
      </c>
      <c r="BO273">
        <v>17974.04</v>
      </c>
      <c r="BP273">
        <v>17974.04</v>
      </c>
      <c r="BQ273">
        <v>20808.72</v>
      </c>
      <c r="BR273">
        <v>2834.68</v>
      </c>
      <c r="BS273" t="s">
        <v>892</v>
      </c>
      <c r="BT273">
        <v>2832.16</v>
      </c>
      <c r="BV273" t="s">
        <v>2793</v>
      </c>
      <c r="BW273" t="s">
        <v>2794</v>
      </c>
      <c r="BX273" t="s">
        <v>895</v>
      </c>
      <c r="BY273" t="s">
        <v>2841</v>
      </c>
      <c r="CD273" t="s">
        <v>2842</v>
      </c>
      <c r="CG273" t="s">
        <v>2838</v>
      </c>
      <c r="CH273" t="s">
        <v>1495</v>
      </c>
      <c r="CI273" t="s">
        <v>2843</v>
      </c>
      <c r="CJ273" t="s">
        <v>2843</v>
      </c>
      <c r="CP273" t="s">
        <v>1128</v>
      </c>
      <c r="CT273" t="s">
        <v>901</v>
      </c>
    </row>
    <row r="274" spans="1:98" x14ac:dyDescent="0.15">
      <c r="A274" t="s">
        <v>861</v>
      </c>
      <c r="B274" t="s">
        <v>862</v>
      </c>
      <c r="C274" t="s">
        <v>667</v>
      </c>
      <c r="D274" t="s">
        <v>667</v>
      </c>
      <c r="E274" t="s">
        <v>667</v>
      </c>
      <c r="F274" t="s">
        <v>863</v>
      </c>
      <c r="G274" t="s">
        <v>864</v>
      </c>
      <c r="H274" t="s">
        <v>863</v>
      </c>
      <c r="I274" t="s">
        <v>666</v>
      </c>
      <c r="J274" t="s">
        <v>2844</v>
      </c>
      <c r="K274" t="s">
        <v>1481</v>
      </c>
      <c r="L274" t="s">
        <v>868</v>
      </c>
      <c r="N274" t="s">
        <v>861</v>
      </c>
      <c r="O274">
        <v>0</v>
      </c>
      <c r="P274" t="s">
        <v>869</v>
      </c>
      <c r="Q274" t="s">
        <v>125</v>
      </c>
      <c r="R274" t="s">
        <v>870</v>
      </c>
      <c r="S274" t="s">
        <v>871</v>
      </c>
      <c r="T274" t="s">
        <v>2791</v>
      </c>
      <c r="U274" t="s">
        <v>2791</v>
      </c>
      <c r="V274" t="s">
        <v>936</v>
      </c>
      <c r="Y274" t="s">
        <v>874</v>
      </c>
      <c r="Z274" t="s">
        <v>861</v>
      </c>
      <c r="AA274" t="s">
        <v>958</v>
      </c>
      <c r="AB274" t="s">
        <v>2845</v>
      </c>
      <c r="AJ274" t="s">
        <v>861</v>
      </c>
      <c r="AK274" t="s">
        <v>880</v>
      </c>
      <c r="AL274" t="s">
        <v>881</v>
      </c>
      <c r="AM274" t="s">
        <v>882</v>
      </c>
      <c r="AP274" t="s">
        <v>1526</v>
      </c>
      <c r="AQ274" t="s">
        <v>1471</v>
      </c>
      <c r="AS274" t="s">
        <v>1471</v>
      </c>
      <c r="AT274" t="s">
        <v>1471</v>
      </c>
      <c r="AU274" t="s">
        <v>886</v>
      </c>
      <c r="AW274" t="s">
        <v>2723</v>
      </c>
      <c r="AX274" t="s">
        <v>1016</v>
      </c>
      <c r="AZ274" t="s">
        <v>1017</v>
      </c>
      <c r="BA274" t="s">
        <v>1018</v>
      </c>
      <c r="BK274" t="s">
        <v>1134</v>
      </c>
      <c r="BL274">
        <v>504</v>
      </c>
      <c r="BM274">
        <v>68.489999999999995</v>
      </c>
      <c r="BN274">
        <v>12263.5</v>
      </c>
      <c r="BO274">
        <v>21975.15</v>
      </c>
      <c r="BP274">
        <v>21975.15</v>
      </c>
      <c r="BQ274">
        <v>24810.31</v>
      </c>
      <c r="BR274">
        <v>2835.16</v>
      </c>
      <c r="BS274" t="s">
        <v>892</v>
      </c>
      <c r="BT274">
        <v>2832.16</v>
      </c>
      <c r="BV274" t="s">
        <v>2793</v>
      </c>
      <c r="BW274" t="s">
        <v>2794</v>
      </c>
      <c r="BX274" t="s">
        <v>895</v>
      </c>
      <c r="BY274" t="s">
        <v>2846</v>
      </c>
      <c r="CD274" t="s">
        <v>2847</v>
      </c>
      <c r="CG274" t="s">
        <v>2844</v>
      </c>
      <c r="CH274" t="s">
        <v>1495</v>
      </c>
      <c r="CI274" t="s">
        <v>2848</v>
      </c>
      <c r="CJ274" t="s">
        <v>2848</v>
      </c>
      <c r="CP274" t="s">
        <v>936</v>
      </c>
      <c r="CT274" t="s">
        <v>901</v>
      </c>
    </row>
    <row r="275" spans="1:98" x14ac:dyDescent="0.15">
      <c r="A275" t="s">
        <v>861</v>
      </c>
      <c r="B275" t="s">
        <v>862</v>
      </c>
      <c r="C275" t="s">
        <v>522</v>
      </c>
      <c r="D275" t="s">
        <v>522</v>
      </c>
      <c r="E275" t="s">
        <v>522</v>
      </c>
      <c r="F275" t="s">
        <v>863</v>
      </c>
      <c r="G275" t="s">
        <v>864</v>
      </c>
      <c r="H275" t="s">
        <v>916</v>
      </c>
      <c r="I275" t="s">
        <v>521</v>
      </c>
      <c r="J275" t="s">
        <v>2849</v>
      </c>
      <c r="K275" t="s">
        <v>1481</v>
      </c>
      <c r="L275" t="s">
        <v>868</v>
      </c>
      <c r="N275" t="s">
        <v>861</v>
      </c>
      <c r="O275">
        <v>0</v>
      </c>
      <c r="P275" t="s">
        <v>869</v>
      </c>
      <c r="Q275" t="s">
        <v>125</v>
      </c>
      <c r="R275" t="s">
        <v>870</v>
      </c>
      <c r="S275" t="s">
        <v>871</v>
      </c>
      <c r="T275" t="s">
        <v>2828</v>
      </c>
      <c r="U275" t="s">
        <v>2828</v>
      </c>
      <c r="V275" t="s">
        <v>936</v>
      </c>
      <c r="Y275" t="s">
        <v>874</v>
      </c>
      <c r="Z275" t="s">
        <v>861</v>
      </c>
      <c r="AA275" t="s">
        <v>958</v>
      </c>
      <c r="AB275" t="s">
        <v>2850</v>
      </c>
      <c r="AD275" t="s">
        <v>923</v>
      </c>
      <c r="AE275" t="s">
        <v>2851</v>
      </c>
      <c r="AJ275" t="s">
        <v>861</v>
      </c>
      <c r="AK275" t="s">
        <v>880</v>
      </c>
      <c r="AL275" t="s">
        <v>881</v>
      </c>
      <c r="AM275" t="s">
        <v>882</v>
      </c>
      <c r="AP275" t="s">
        <v>1425</v>
      </c>
      <c r="AQ275" t="s">
        <v>2755</v>
      </c>
      <c r="AS275" t="s">
        <v>2755</v>
      </c>
      <c r="AT275" t="s">
        <v>2755</v>
      </c>
      <c r="AU275" t="s">
        <v>886</v>
      </c>
      <c r="AW275" t="s">
        <v>1277</v>
      </c>
      <c r="AX275" t="s">
        <v>2756</v>
      </c>
      <c r="AZ275" t="s">
        <v>929</v>
      </c>
      <c r="BA275" t="s">
        <v>2836</v>
      </c>
      <c r="BK275" t="s">
        <v>1134</v>
      </c>
      <c r="BL275">
        <v>1046</v>
      </c>
      <c r="BM275">
        <v>64.209999999999994</v>
      </c>
      <c r="BN275">
        <v>11991</v>
      </c>
      <c r="BO275">
        <v>26527.23</v>
      </c>
      <c r="BP275">
        <v>26527.23</v>
      </c>
      <c r="BQ275">
        <v>29362.959999999999</v>
      </c>
      <c r="BR275">
        <v>2835.71</v>
      </c>
      <c r="BS275" t="s">
        <v>892</v>
      </c>
      <c r="BT275">
        <v>2832.16</v>
      </c>
      <c r="BV275" t="s">
        <v>2793</v>
      </c>
      <c r="BW275" t="s">
        <v>2794</v>
      </c>
      <c r="BX275" t="s">
        <v>895</v>
      </c>
      <c r="BY275" t="s">
        <v>2852</v>
      </c>
      <c r="CD275" t="s">
        <v>2853</v>
      </c>
      <c r="CG275" t="s">
        <v>2849</v>
      </c>
      <c r="CH275" t="s">
        <v>1495</v>
      </c>
      <c r="CI275" t="s">
        <v>2854</v>
      </c>
      <c r="CJ275" t="s">
        <v>2854</v>
      </c>
      <c r="CP275" t="s">
        <v>1128</v>
      </c>
      <c r="CT275" t="s">
        <v>901</v>
      </c>
    </row>
    <row r="276" spans="1:98" x14ac:dyDescent="0.15">
      <c r="A276" t="s">
        <v>861</v>
      </c>
      <c r="B276" t="s">
        <v>862</v>
      </c>
      <c r="C276" t="s">
        <v>528</v>
      </c>
      <c r="D276" t="s">
        <v>528</v>
      </c>
      <c r="E276" t="s">
        <v>528</v>
      </c>
      <c r="F276" t="s">
        <v>863</v>
      </c>
      <c r="G276" t="s">
        <v>864</v>
      </c>
      <c r="H276" t="s">
        <v>916</v>
      </c>
      <c r="I276" t="s">
        <v>527</v>
      </c>
      <c r="J276" t="s">
        <v>2855</v>
      </c>
      <c r="K276" t="s">
        <v>1481</v>
      </c>
      <c r="L276" t="s">
        <v>868</v>
      </c>
      <c r="N276" t="s">
        <v>861</v>
      </c>
      <c r="O276">
        <v>0</v>
      </c>
      <c r="P276" t="s">
        <v>869</v>
      </c>
      <c r="Q276" t="s">
        <v>125</v>
      </c>
      <c r="R276" t="s">
        <v>870</v>
      </c>
      <c r="S276" t="s">
        <v>871</v>
      </c>
      <c r="T276" t="s">
        <v>2828</v>
      </c>
      <c r="U276" t="s">
        <v>2828</v>
      </c>
      <c r="V276" t="s">
        <v>936</v>
      </c>
      <c r="Y276" t="s">
        <v>874</v>
      </c>
      <c r="Z276" t="s">
        <v>861</v>
      </c>
      <c r="AA276" t="s">
        <v>958</v>
      </c>
      <c r="AB276" t="s">
        <v>2856</v>
      </c>
      <c r="AD276" t="s">
        <v>923</v>
      </c>
      <c r="AE276" t="s">
        <v>2857</v>
      </c>
      <c r="AJ276" t="s">
        <v>861</v>
      </c>
      <c r="AK276" t="s">
        <v>880</v>
      </c>
      <c r="AL276" t="s">
        <v>881</v>
      </c>
      <c r="AM276" t="s">
        <v>882</v>
      </c>
      <c r="AP276" t="s">
        <v>1425</v>
      </c>
      <c r="AQ276" t="s">
        <v>2755</v>
      </c>
      <c r="AS276" t="s">
        <v>2755</v>
      </c>
      <c r="AT276" t="s">
        <v>2755</v>
      </c>
      <c r="AU276" t="s">
        <v>886</v>
      </c>
      <c r="AW276" t="s">
        <v>1277</v>
      </c>
      <c r="AX276" t="s">
        <v>2756</v>
      </c>
      <c r="AZ276" t="s">
        <v>929</v>
      </c>
      <c r="BA276" t="s">
        <v>2836</v>
      </c>
      <c r="BK276" t="s">
        <v>1134</v>
      </c>
      <c r="BL276">
        <v>463</v>
      </c>
      <c r="BM276">
        <v>63.81</v>
      </c>
      <c r="BN276">
        <v>9259.6</v>
      </c>
      <c r="BO276">
        <v>15978.2</v>
      </c>
      <c r="BP276">
        <v>15978.2</v>
      </c>
      <c r="BQ276">
        <v>18812.63</v>
      </c>
      <c r="BR276">
        <v>2834.44</v>
      </c>
      <c r="BS276" t="s">
        <v>892</v>
      </c>
      <c r="BT276">
        <v>2832.16</v>
      </c>
      <c r="BV276" t="s">
        <v>2793</v>
      </c>
      <c r="BW276" t="s">
        <v>2794</v>
      </c>
      <c r="BX276" t="s">
        <v>895</v>
      </c>
      <c r="BY276" t="s">
        <v>2852</v>
      </c>
      <c r="CD276" t="s">
        <v>2858</v>
      </c>
      <c r="CG276" t="s">
        <v>2855</v>
      </c>
      <c r="CH276" t="s">
        <v>1495</v>
      </c>
      <c r="CI276" t="s">
        <v>2859</v>
      </c>
      <c r="CJ276" t="s">
        <v>2859</v>
      </c>
      <c r="CP276" t="s">
        <v>1128</v>
      </c>
      <c r="CT276" t="s">
        <v>901</v>
      </c>
    </row>
    <row r="277" spans="1:98" x14ac:dyDescent="0.15">
      <c r="A277" t="s">
        <v>861</v>
      </c>
      <c r="B277" t="s">
        <v>862</v>
      </c>
      <c r="C277" t="s">
        <v>524</v>
      </c>
      <c r="D277" t="s">
        <v>524</v>
      </c>
      <c r="E277" t="s">
        <v>524</v>
      </c>
      <c r="F277" t="s">
        <v>863</v>
      </c>
      <c r="G277" t="s">
        <v>864</v>
      </c>
      <c r="H277" t="s">
        <v>916</v>
      </c>
      <c r="I277" t="s">
        <v>523</v>
      </c>
      <c r="J277" t="s">
        <v>2860</v>
      </c>
      <c r="K277" t="s">
        <v>1481</v>
      </c>
      <c r="L277" t="s">
        <v>868</v>
      </c>
      <c r="N277" t="s">
        <v>861</v>
      </c>
      <c r="O277">
        <v>0</v>
      </c>
      <c r="P277" t="s">
        <v>869</v>
      </c>
      <c r="Q277" t="s">
        <v>125</v>
      </c>
      <c r="R277" t="s">
        <v>870</v>
      </c>
      <c r="S277" t="s">
        <v>871</v>
      </c>
      <c r="T277" t="s">
        <v>2828</v>
      </c>
      <c r="U277" t="s">
        <v>2828</v>
      </c>
      <c r="V277" t="s">
        <v>936</v>
      </c>
      <c r="Y277" t="s">
        <v>874</v>
      </c>
      <c r="Z277" t="s">
        <v>861</v>
      </c>
      <c r="AA277" t="s">
        <v>958</v>
      </c>
      <c r="AB277" t="s">
        <v>2861</v>
      </c>
      <c r="AD277" t="s">
        <v>923</v>
      </c>
      <c r="AE277" t="s">
        <v>2862</v>
      </c>
      <c r="AJ277" t="s">
        <v>861</v>
      </c>
      <c r="AK277" t="s">
        <v>880</v>
      </c>
      <c r="AL277" t="s">
        <v>881</v>
      </c>
      <c r="AM277" t="s">
        <v>882</v>
      </c>
      <c r="AP277" t="s">
        <v>1425</v>
      </c>
      <c r="AQ277" t="s">
        <v>2755</v>
      </c>
      <c r="AS277" t="s">
        <v>2755</v>
      </c>
      <c r="AT277" t="s">
        <v>2755</v>
      </c>
      <c r="AU277" t="s">
        <v>886</v>
      </c>
      <c r="AW277" t="s">
        <v>1277</v>
      </c>
      <c r="AX277" t="s">
        <v>2756</v>
      </c>
      <c r="AZ277" t="s">
        <v>929</v>
      </c>
      <c r="BA277" t="s">
        <v>2836</v>
      </c>
      <c r="BK277" t="s">
        <v>1134</v>
      </c>
      <c r="BL277">
        <v>750</v>
      </c>
      <c r="BM277">
        <v>64.7</v>
      </c>
      <c r="BN277">
        <v>9422</v>
      </c>
      <c r="BO277">
        <v>23093.8</v>
      </c>
      <c r="BP277">
        <v>23093.8</v>
      </c>
      <c r="BQ277">
        <v>25929.1</v>
      </c>
      <c r="BR277">
        <v>2835.3</v>
      </c>
      <c r="BS277" t="s">
        <v>892</v>
      </c>
      <c r="BT277">
        <v>2832.16</v>
      </c>
      <c r="BV277" t="s">
        <v>2793</v>
      </c>
      <c r="BW277" t="s">
        <v>2794</v>
      </c>
      <c r="BX277" t="s">
        <v>895</v>
      </c>
      <c r="BY277" t="s">
        <v>2852</v>
      </c>
      <c r="CD277" t="s">
        <v>2853</v>
      </c>
      <c r="CG277" t="s">
        <v>2860</v>
      </c>
      <c r="CH277" t="s">
        <v>1495</v>
      </c>
      <c r="CI277" t="s">
        <v>2863</v>
      </c>
      <c r="CJ277" t="s">
        <v>2863</v>
      </c>
      <c r="CP277" t="s">
        <v>1128</v>
      </c>
      <c r="CT277" t="s">
        <v>901</v>
      </c>
    </row>
    <row r="278" spans="1:98" x14ac:dyDescent="0.15">
      <c r="A278" t="s">
        <v>861</v>
      </c>
      <c r="B278" t="s">
        <v>862</v>
      </c>
      <c r="C278" t="s">
        <v>127</v>
      </c>
      <c r="D278" t="s">
        <v>127</v>
      </c>
      <c r="E278" t="s">
        <v>127</v>
      </c>
      <c r="F278" t="s">
        <v>863</v>
      </c>
      <c r="G278" t="s">
        <v>1025</v>
      </c>
      <c r="H278" t="s">
        <v>1026</v>
      </c>
      <c r="I278" t="s">
        <v>124</v>
      </c>
      <c r="J278" t="s">
        <v>2864</v>
      </c>
      <c r="K278" t="s">
        <v>1481</v>
      </c>
      <c r="L278" t="s">
        <v>868</v>
      </c>
      <c r="N278" t="s">
        <v>861</v>
      </c>
      <c r="O278">
        <v>0</v>
      </c>
      <c r="P278" t="s">
        <v>869</v>
      </c>
      <c r="Q278" t="s">
        <v>125</v>
      </c>
      <c r="R278" t="s">
        <v>870</v>
      </c>
      <c r="S278" t="s">
        <v>871</v>
      </c>
      <c r="T278" t="s">
        <v>2865</v>
      </c>
      <c r="U278" t="s">
        <v>2865</v>
      </c>
      <c r="V278" t="s">
        <v>974</v>
      </c>
      <c r="Y278" t="s">
        <v>874</v>
      </c>
      <c r="Z278" t="s">
        <v>861</v>
      </c>
      <c r="AA278" t="s">
        <v>958</v>
      </c>
      <c r="AB278" t="s">
        <v>2866</v>
      </c>
      <c r="AF278" t="s">
        <v>2867</v>
      </c>
      <c r="AG278" t="s">
        <v>2868</v>
      </c>
      <c r="AH278" t="s">
        <v>2869</v>
      </c>
      <c r="AI278" t="s">
        <v>2870</v>
      </c>
      <c r="AJ278" t="s">
        <v>861</v>
      </c>
      <c r="AK278" t="s">
        <v>880</v>
      </c>
      <c r="AL278" t="s">
        <v>881</v>
      </c>
      <c r="AM278" t="s">
        <v>882</v>
      </c>
      <c r="AN278" t="s">
        <v>882</v>
      </c>
      <c r="AO278" t="s">
        <v>2871</v>
      </c>
      <c r="AP278" t="s">
        <v>1226</v>
      </c>
      <c r="AQ278" t="s">
        <v>2872</v>
      </c>
      <c r="AR278" t="s">
        <v>2872</v>
      </c>
      <c r="AS278" t="s">
        <v>2872</v>
      </c>
      <c r="AT278" t="s">
        <v>2872</v>
      </c>
      <c r="AU278" t="s">
        <v>886</v>
      </c>
      <c r="AW278" t="s">
        <v>2873</v>
      </c>
      <c r="AX278" t="s">
        <v>1418</v>
      </c>
      <c r="AZ278" t="s">
        <v>942</v>
      </c>
      <c r="BA278" t="s">
        <v>888</v>
      </c>
      <c r="BB278" t="s">
        <v>2874</v>
      </c>
      <c r="BK278" t="s">
        <v>1134</v>
      </c>
      <c r="BL278">
        <v>941</v>
      </c>
      <c r="BM278">
        <v>64.95</v>
      </c>
      <c r="BN278">
        <v>8317.5</v>
      </c>
      <c r="BO278">
        <v>16199.18</v>
      </c>
      <c r="BP278">
        <v>16199.18</v>
      </c>
      <c r="BQ278">
        <v>19152.62</v>
      </c>
      <c r="BR278">
        <v>2953.48</v>
      </c>
      <c r="BS278" t="s">
        <v>892</v>
      </c>
      <c r="BT278">
        <v>2951.16</v>
      </c>
      <c r="BV278" t="s">
        <v>2875</v>
      </c>
      <c r="BW278" t="s">
        <v>2876</v>
      </c>
      <c r="BX278" t="s">
        <v>1007</v>
      </c>
      <c r="BY278" t="s">
        <v>1478</v>
      </c>
      <c r="CD278" t="s">
        <v>2877</v>
      </c>
      <c r="CG278" t="s">
        <v>2864</v>
      </c>
      <c r="CH278" t="s">
        <v>1495</v>
      </c>
      <c r="CI278" t="s">
        <v>2878</v>
      </c>
      <c r="CJ278" t="s">
        <v>2878</v>
      </c>
      <c r="CM278" t="s">
        <v>1044</v>
      </c>
      <c r="CN278" t="s">
        <v>1045</v>
      </c>
      <c r="CO278" t="s">
        <v>2879</v>
      </c>
      <c r="CP278" t="s">
        <v>974</v>
      </c>
      <c r="CT278" t="s">
        <v>901</v>
      </c>
    </row>
    <row r="279" spans="1:98" x14ac:dyDescent="0.15">
      <c r="A279" t="s">
        <v>861</v>
      </c>
      <c r="B279" t="s">
        <v>862</v>
      </c>
      <c r="C279" t="s">
        <v>210</v>
      </c>
      <c r="D279" t="s">
        <v>210</v>
      </c>
      <c r="E279" t="s">
        <v>210</v>
      </c>
      <c r="F279" t="s">
        <v>863</v>
      </c>
      <c r="G279" t="s">
        <v>1025</v>
      </c>
      <c r="H279" t="s">
        <v>1026</v>
      </c>
      <c r="I279" t="s">
        <v>209</v>
      </c>
      <c r="J279" t="s">
        <v>2880</v>
      </c>
      <c r="K279" t="s">
        <v>1481</v>
      </c>
      <c r="L279" t="s">
        <v>868</v>
      </c>
      <c r="N279" t="s">
        <v>861</v>
      </c>
      <c r="O279">
        <v>0</v>
      </c>
      <c r="P279" t="s">
        <v>869</v>
      </c>
      <c r="Q279" t="s">
        <v>125</v>
      </c>
      <c r="R279" t="s">
        <v>870</v>
      </c>
      <c r="S279" t="s">
        <v>871</v>
      </c>
      <c r="T279" t="s">
        <v>1499</v>
      </c>
      <c r="U279" t="s">
        <v>1499</v>
      </c>
      <c r="V279" t="s">
        <v>974</v>
      </c>
      <c r="Y279" t="s">
        <v>910</v>
      </c>
      <c r="Z279" t="s">
        <v>861</v>
      </c>
      <c r="AA279" t="s">
        <v>958</v>
      </c>
      <c r="AB279" t="s">
        <v>2881</v>
      </c>
      <c r="AD279" t="s">
        <v>1484</v>
      </c>
      <c r="AF279" t="s">
        <v>2867</v>
      </c>
      <c r="AG279" t="s">
        <v>2882</v>
      </c>
      <c r="AH279" t="s">
        <v>2869</v>
      </c>
      <c r="AI279" t="s">
        <v>2883</v>
      </c>
      <c r="AJ279" t="s">
        <v>861</v>
      </c>
      <c r="AK279" t="s">
        <v>880</v>
      </c>
      <c r="AL279" t="s">
        <v>881</v>
      </c>
      <c r="AM279" t="s">
        <v>882</v>
      </c>
      <c r="AN279" t="s">
        <v>882</v>
      </c>
      <c r="AO279" t="s">
        <v>2884</v>
      </c>
      <c r="AP279" t="s">
        <v>999</v>
      </c>
      <c r="AQ279" t="s">
        <v>2885</v>
      </c>
      <c r="AR279" t="s">
        <v>2886</v>
      </c>
      <c r="AS279" t="s">
        <v>2885</v>
      </c>
      <c r="AT279" t="s">
        <v>2885</v>
      </c>
      <c r="AU279" t="s">
        <v>886</v>
      </c>
      <c r="AW279" t="s">
        <v>2887</v>
      </c>
      <c r="AX279" t="s">
        <v>1037</v>
      </c>
      <c r="AZ279" t="s">
        <v>968</v>
      </c>
      <c r="BA279" t="s">
        <v>1038</v>
      </c>
      <c r="BB279" t="s">
        <v>2888</v>
      </c>
      <c r="BH279" t="s">
        <v>2889</v>
      </c>
      <c r="BK279" t="s">
        <v>1134</v>
      </c>
      <c r="BL279">
        <v>385</v>
      </c>
      <c r="BM279">
        <v>65.87</v>
      </c>
      <c r="BN279">
        <v>6102.3</v>
      </c>
      <c r="BO279">
        <v>19732.900000000001</v>
      </c>
      <c r="BP279">
        <v>19732.900000000001</v>
      </c>
      <c r="BQ279">
        <v>22686.81</v>
      </c>
      <c r="BR279">
        <v>2953.9</v>
      </c>
      <c r="BS279" t="s">
        <v>892</v>
      </c>
      <c r="BT279">
        <v>2951.16</v>
      </c>
      <c r="BV279" t="s">
        <v>2875</v>
      </c>
      <c r="BW279" t="s">
        <v>2876</v>
      </c>
      <c r="BX279" t="s">
        <v>1007</v>
      </c>
      <c r="BY279" t="s">
        <v>2890</v>
      </c>
      <c r="CD279" t="s">
        <v>2891</v>
      </c>
      <c r="CG279" t="s">
        <v>2880</v>
      </c>
      <c r="CH279" t="s">
        <v>1495</v>
      </c>
      <c r="CI279" t="s">
        <v>2892</v>
      </c>
      <c r="CJ279" t="s">
        <v>2892</v>
      </c>
      <c r="CM279" t="s">
        <v>1044</v>
      </c>
      <c r="CN279" t="s">
        <v>1045</v>
      </c>
      <c r="CO279" t="s">
        <v>2893</v>
      </c>
      <c r="CP279" t="s">
        <v>974</v>
      </c>
      <c r="CT279" t="s">
        <v>901</v>
      </c>
    </row>
    <row r="280" spans="1:98" x14ac:dyDescent="0.15">
      <c r="A280" t="s">
        <v>861</v>
      </c>
      <c r="B280" t="s">
        <v>862</v>
      </c>
      <c r="C280" t="s">
        <v>200</v>
      </c>
      <c r="D280" t="s">
        <v>200</v>
      </c>
      <c r="E280" t="s">
        <v>200</v>
      </c>
      <c r="F280" t="s">
        <v>863</v>
      </c>
      <c r="G280" t="s">
        <v>1025</v>
      </c>
      <c r="H280" t="s">
        <v>1026</v>
      </c>
      <c r="I280" t="s">
        <v>199</v>
      </c>
      <c r="J280" t="s">
        <v>2894</v>
      </c>
      <c r="K280" t="s">
        <v>1481</v>
      </c>
      <c r="L280" t="s">
        <v>868</v>
      </c>
      <c r="N280" t="s">
        <v>861</v>
      </c>
      <c r="O280">
        <v>0</v>
      </c>
      <c r="P280" t="s">
        <v>869</v>
      </c>
      <c r="Q280" t="s">
        <v>125</v>
      </c>
      <c r="R280" t="s">
        <v>870</v>
      </c>
      <c r="S280" t="s">
        <v>871</v>
      </c>
      <c r="T280" t="s">
        <v>1499</v>
      </c>
      <c r="U280" t="s">
        <v>1499</v>
      </c>
      <c r="V280" t="s">
        <v>974</v>
      </c>
      <c r="Y280" t="s">
        <v>874</v>
      </c>
      <c r="Z280" t="s">
        <v>861</v>
      </c>
      <c r="AA280" t="s">
        <v>958</v>
      </c>
      <c r="AB280" t="s">
        <v>2895</v>
      </c>
      <c r="AD280" t="s">
        <v>1484</v>
      </c>
      <c r="AF280" t="s">
        <v>2867</v>
      </c>
      <c r="AG280" t="s">
        <v>2896</v>
      </c>
      <c r="AH280" t="s">
        <v>2897</v>
      </c>
      <c r="AI280" t="s">
        <v>2898</v>
      </c>
      <c r="AJ280" t="s">
        <v>861</v>
      </c>
      <c r="AK280" t="s">
        <v>880</v>
      </c>
      <c r="AL280" t="s">
        <v>881</v>
      </c>
      <c r="AM280" t="s">
        <v>882</v>
      </c>
      <c r="AN280" t="s">
        <v>882</v>
      </c>
      <c r="AO280" t="s">
        <v>2899</v>
      </c>
      <c r="AP280" t="s">
        <v>999</v>
      </c>
      <c r="AQ280" t="s">
        <v>2885</v>
      </c>
      <c r="AR280" t="s">
        <v>2900</v>
      </c>
      <c r="AS280" t="s">
        <v>2885</v>
      </c>
      <c r="AT280" t="s">
        <v>2885</v>
      </c>
      <c r="AU280" t="s">
        <v>886</v>
      </c>
      <c r="AW280" t="s">
        <v>2887</v>
      </c>
      <c r="AX280" t="s">
        <v>1037</v>
      </c>
      <c r="AZ280" t="s">
        <v>968</v>
      </c>
      <c r="BA280" t="s">
        <v>1038</v>
      </c>
      <c r="BB280" t="s">
        <v>2901</v>
      </c>
      <c r="BK280" t="s">
        <v>1134</v>
      </c>
      <c r="BL280">
        <v>482</v>
      </c>
      <c r="BM280">
        <v>65.38</v>
      </c>
      <c r="BN280">
        <v>8802</v>
      </c>
      <c r="BO280">
        <v>19931.02</v>
      </c>
      <c r="BP280">
        <v>19931.02</v>
      </c>
      <c r="BQ280">
        <v>22884.94</v>
      </c>
      <c r="BR280">
        <v>2953.93</v>
      </c>
      <c r="BS280" t="s">
        <v>892</v>
      </c>
      <c r="BT280">
        <v>2951.16</v>
      </c>
      <c r="BV280" t="s">
        <v>2875</v>
      </c>
      <c r="BW280" t="s">
        <v>2876</v>
      </c>
      <c r="BX280" t="s">
        <v>1007</v>
      </c>
      <c r="BY280" t="s">
        <v>2890</v>
      </c>
      <c r="CD280" t="s">
        <v>2877</v>
      </c>
      <c r="CG280" t="s">
        <v>2894</v>
      </c>
      <c r="CH280" t="s">
        <v>1495</v>
      </c>
      <c r="CI280" t="s">
        <v>2902</v>
      </c>
      <c r="CJ280" t="s">
        <v>2902</v>
      </c>
      <c r="CM280" t="s">
        <v>1044</v>
      </c>
      <c r="CN280" t="s">
        <v>1045</v>
      </c>
      <c r="CO280" t="s">
        <v>2903</v>
      </c>
      <c r="CP280" t="s">
        <v>974</v>
      </c>
      <c r="CT280" t="s">
        <v>901</v>
      </c>
    </row>
    <row r="281" spans="1:98" x14ac:dyDescent="0.15">
      <c r="A281" t="s">
        <v>861</v>
      </c>
      <c r="B281" t="s">
        <v>862</v>
      </c>
      <c r="C281" t="s">
        <v>224</v>
      </c>
      <c r="D281" t="s">
        <v>224</v>
      </c>
      <c r="E281" t="s">
        <v>224</v>
      </c>
      <c r="F281" t="s">
        <v>863</v>
      </c>
      <c r="G281" t="s">
        <v>1025</v>
      </c>
      <c r="H281" t="s">
        <v>1026</v>
      </c>
      <c r="I281" t="s">
        <v>223</v>
      </c>
      <c r="J281" t="s">
        <v>2904</v>
      </c>
      <c r="K281" t="s">
        <v>1481</v>
      </c>
      <c r="L281" t="s">
        <v>868</v>
      </c>
      <c r="N281" t="s">
        <v>861</v>
      </c>
      <c r="O281">
        <v>0</v>
      </c>
      <c r="P281" t="s">
        <v>869</v>
      </c>
      <c r="Q281" t="s">
        <v>125</v>
      </c>
      <c r="R281" t="s">
        <v>870</v>
      </c>
      <c r="S281" t="s">
        <v>871</v>
      </c>
      <c r="T281" t="s">
        <v>1499</v>
      </c>
      <c r="U281" t="s">
        <v>1499</v>
      </c>
      <c r="V281" t="s">
        <v>974</v>
      </c>
      <c r="Y281" t="s">
        <v>874</v>
      </c>
      <c r="Z281" t="s">
        <v>861</v>
      </c>
      <c r="AA281" t="s">
        <v>958</v>
      </c>
      <c r="AB281" t="s">
        <v>2905</v>
      </c>
      <c r="AD281" t="s">
        <v>1484</v>
      </c>
      <c r="AF281" t="s">
        <v>2867</v>
      </c>
      <c r="AG281" t="s">
        <v>2906</v>
      </c>
      <c r="AH281" t="s">
        <v>2869</v>
      </c>
      <c r="AI281" t="s">
        <v>2907</v>
      </c>
      <c r="AJ281" t="s">
        <v>861</v>
      </c>
      <c r="AK281" t="s">
        <v>880</v>
      </c>
      <c r="AL281" t="s">
        <v>881</v>
      </c>
      <c r="AM281" t="s">
        <v>882</v>
      </c>
      <c r="AN281" t="s">
        <v>882</v>
      </c>
      <c r="AO281" t="s">
        <v>2908</v>
      </c>
      <c r="AP281" t="s">
        <v>1226</v>
      </c>
      <c r="AQ281" t="s">
        <v>2909</v>
      </c>
      <c r="AR281" t="s">
        <v>2909</v>
      </c>
      <c r="AS281" t="s">
        <v>2909</v>
      </c>
      <c r="AT281" t="s">
        <v>2909</v>
      </c>
      <c r="AU281" t="s">
        <v>886</v>
      </c>
      <c r="AW281" t="s">
        <v>2910</v>
      </c>
      <c r="AX281" t="s">
        <v>890</v>
      </c>
      <c r="AZ281" t="s">
        <v>942</v>
      </c>
      <c r="BA281" t="s">
        <v>988</v>
      </c>
      <c r="BB281" t="s">
        <v>2911</v>
      </c>
      <c r="BK281" t="s">
        <v>1134</v>
      </c>
      <c r="BL281">
        <v>286</v>
      </c>
      <c r="BM281">
        <v>67.59</v>
      </c>
      <c r="BN281">
        <v>12031</v>
      </c>
      <c r="BO281">
        <v>32162.38</v>
      </c>
      <c r="BP281">
        <v>32162.38</v>
      </c>
      <c r="BQ281">
        <v>35117.78</v>
      </c>
      <c r="BR281">
        <v>2955.41</v>
      </c>
      <c r="BS281" t="s">
        <v>892</v>
      </c>
      <c r="BT281">
        <v>2951.16</v>
      </c>
      <c r="BV281" t="s">
        <v>2875</v>
      </c>
      <c r="BW281" t="s">
        <v>2876</v>
      </c>
      <c r="BX281" t="s">
        <v>1007</v>
      </c>
      <c r="BY281" t="s">
        <v>2890</v>
      </c>
      <c r="CD281" t="s">
        <v>2912</v>
      </c>
      <c r="CG281" t="s">
        <v>2904</v>
      </c>
      <c r="CH281" t="s">
        <v>1495</v>
      </c>
      <c r="CI281" t="s">
        <v>2913</v>
      </c>
      <c r="CJ281" t="s">
        <v>2913</v>
      </c>
      <c r="CM281" t="s">
        <v>1044</v>
      </c>
      <c r="CN281" t="s">
        <v>1045</v>
      </c>
      <c r="CO281" t="s">
        <v>2914</v>
      </c>
      <c r="CP281" t="s">
        <v>974</v>
      </c>
      <c r="CT281" t="s">
        <v>901</v>
      </c>
    </row>
    <row r="282" spans="1:98" x14ac:dyDescent="0.15">
      <c r="A282" t="s">
        <v>861</v>
      </c>
      <c r="B282" t="s">
        <v>862</v>
      </c>
      <c r="C282" t="s">
        <v>222</v>
      </c>
      <c r="D282" t="s">
        <v>222</v>
      </c>
      <c r="E282" t="s">
        <v>222</v>
      </c>
      <c r="F282" t="s">
        <v>863</v>
      </c>
      <c r="G282" t="s">
        <v>1025</v>
      </c>
      <c r="H282" t="s">
        <v>1026</v>
      </c>
      <c r="I282" t="s">
        <v>221</v>
      </c>
      <c r="J282" t="s">
        <v>2915</v>
      </c>
      <c r="K282" t="s">
        <v>1481</v>
      </c>
      <c r="L282" t="s">
        <v>868</v>
      </c>
      <c r="N282" t="s">
        <v>861</v>
      </c>
      <c r="O282">
        <v>0</v>
      </c>
      <c r="P282" t="s">
        <v>869</v>
      </c>
      <c r="Q282" t="s">
        <v>125</v>
      </c>
      <c r="R282" t="s">
        <v>870</v>
      </c>
      <c r="S282" t="s">
        <v>871</v>
      </c>
      <c r="T282" t="s">
        <v>1499</v>
      </c>
      <c r="U282" t="s">
        <v>1499</v>
      </c>
      <c r="V282" t="s">
        <v>974</v>
      </c>
      <c r="Y282" t="s">
        <v>874</v>
      </c>
      <c r="Z282" t="s">
        <v>861</v>
      </c>
      <c r="AA282" t="s">
        <v>958</v>
      </c>
      <c r="AB282" t="s">
        <v>2905</v>
      </c>
      <c r="AD282" t="s">
        <v>1484</v>
      </c>
      <c r="AF282" t="s">
        <v>2867</v>
      </c>
      <c r="AG282" t="s">
        <v>2916</v>
      </c>
      <c r="AH282" t="s">
        <v>2869</v>
      </c>
      <c r="AI282" t="s">
        <v>2917</v>
      </c>
      <c r="AJ282" t="s">
        <v>861</v>
      </c>
      <c r="AK282" t="s">
        <v>880</v>
      </c>
      <c r="AL282" t="s">
        <v>881</v>
      </c>
      <c r="AM282" t="s">
        <v>882</v>
      </c>
      <c r="AN282" t="s">
        <v>882</v>
      </c>
      <c r="AO282" t="s">
        <v>2918</v>
      </c>
      <c r="AP282" t="s">
        <v>1226</v>
      </c>
      <c r="AQ282" t="s">
        <v>2919</v>
      </c>
      <c r="AR282" t="s">
        <v>2919</v>
      </c>
      <c r="AS282" t="s">
        <v>2919</v>
      </c>
      <c r="AT282" t="s">
        <v>2919</v>
      </c>
      <c r="AU282" t="s">
        <v>886</v>
      </c>
      <c r="AW282" t="s">
        <v>2920</v>
      </c>
      <c r="AX282" t="s">
        <v>1265</v>
      </c>
      <c r="AZ282" t="s">
        <v>942</v>
      </c>
      <c r="BA282" t="s">
        <v>888</v>
      </c>
      <c r="BB282" t="s">
        <v>2921</v>
      </c>
      <c r="BH282" t="s">
        <v>1491</v>
      </c>
      <c r="BK282" t="s">
        <v>1134</v>
      </c>
      <c r="BL282">
        <v>609</v>
      </c>
      <c r="BM282">
        <v>66.77</v>
      </c>
      <c r="BN282">
        <v>9068.9</v>
      </c>
      <c r="BO282">
        <v>24427.02</v>
      </c>
      <c r="BP282">
        <v>24427.02</v>
      </c>
      <c r="BQ282">
        <v>27381.5</v>
      </c>
      <c r="BR282">
        <v>2954.47</v>
      </c>
      <c r="BS282" t="s">
        <v>892</v>
      </c>
      <c r="BT282">
        <v>2951.16</v>
      </c>
      <c r="BV282" t="s">
        <v>2875</v>
      </c>
      <c r="BW282" t="s">
        <v>2876</v>
      </c>
      <c r="BX282" t="s">
        <v>1007</v>
      </c>
      <c r="BY282" t="s">
        <v>2890</v>
      </c>
      <c r="CD282" t="s">
        <v>2922</v>
      </c>
      <c r="CG282" t="s">
        <v>2915</v>
      </c>
      <c r="CH282" t="s">
        <v>1495</v>
      </c>
      <c r="CI282" t="s">
        <v>2923</v>
      </c>
      <c r="CJ282" t="s">
        <v>2923</v>
      </c>
      <c r="CM282" t="s">
        <v>1044</v>
      </c>
      <c r="CN282" t="s">
        <v>1045</v>
      </c>
      <c r="CO282" t="s">
        <v>2924</v>
      </c>
      <c r="CP282" t="s">
        <v>974</v>
      </c>
      <c r="CT282" t="s">
        <v>901</v>
      </c>
    </row>
    <row r="283" spans="1:98" x14ac:dyDescent="0.15">
      <c r="A283" t="s">
        <v>861</v>
      </c>
      <c r="B283" t="s">
        <v>862</v>
      </c>
      <c r="C283" t="s">
        <v>228</v>
      </c>
      <c r="D283" t="s">
        <v>228</v>
      </c>
      <c r="E283" t="s">
        <v>228</v>
      </c>
      <c r="F283" t="s">
        <v>863</v>
      </c>
      <c r="G283" t="s">
        <v>1025</v>
      </c>
      <c r="H283" t="s">
        <v>865</v>
      </c>
      <c r="I283" t="s">
        <v>227</v>
      </c>
      <c r="J283" t="s">
        <v>2925</v>
      </c>
      <c r="K283" t="s">
        <v>1481</v>
      </c>
      <c r="L283" t="s">
        <v>868</v>
      </c>
      <c r="N283" t="s">
        <v>861</v>
      </c>
      <c r="O283">
        <v>0</v>
      </c>
      <c r="P283" t="s">
        <v>869</v>
      </c>
      <c r="Q283" t="s">
        <v>125</v>
      </c>
      <c r="R283" t="s">
        <v>870</v>
      </c>
      <c r="S283" t="s">
        <v>871</v>
      </c>
      <c r="T283" t="s">
        <v>1499</v>
      </c>
      <c r="U283" t="s">
        <v>1499</v>
      </c>
      <c r="V283" t="s">
        <v>974</v>
      </c>
      <c r="Y283" t="s">
        <v>874</v>
      </c>
      <c r="Z283" t="s">
        <v>861</v>
      </c>
      <c r="AA283" t="s">
        <v>958</v>
      </c>
      <c r="AB283" t="s">
        <v>2926</v>
      </c>
      <c r="AD283" t="s">
        <v>1484</v>
      </c>
      <c r="AF283" t="s">
        <v>2867</v>
      </c>
      <c r="AG283" t="s">
        <v>2927</v>
      </c>
      <c r="AH283" t="s">
        <v>2869</v>
      </c>
      <c r="AI283" t="s">
        <v>2928</v>
      </c>
      <c r="AJ283" t="s">
        <v>861</v>
      </c>
      <c r="AK283" t="s">
        <v>880</v>
      </c>
      <c r="AL283" t="s">
        <v>881</v>
      </c>
      <c r="AM283" t="s">
        <v>882</v>
      </c>
      <c r="AN283" t="s">
        <v>882</v>
      </c>
      <c r="AO283" t="s">
        <v>2929</v>
      </c>
      <c r="AP283" t="s">
        <v>1226</v>
      </c>
      <c r="AQ283" t="s">
        <v>2930</v>
      </c>
      <c r="AR283" t="s">
        <v>2930</v>
      </c>
      <c r="AS283" t="s">
        <v>2930</v>
      </c>
      <c r="AT283" t="s">
        <v>2930</v>
      </c>
      <c r="AU283" t="s">
        <v>886</v>
      </c>
      <c r="AW283" t="s">
        <v>2931</v>
      </c>
      <c r="AX283" t="s">
        <v>1265</v>
      </c>
      <c r="AZ283" t="s">
        <v>942</v>
      </c>
      <c r="BA283" t="s">
        <v>888</v>
      </c>
      <c r="BH283" t="s">
        <v>1491</v>
      </c>
      <c r="BK283" t="s">
        <v>1134</v>
      </c>
      <c r="BL283">
        <v>586</v>
      </c>
      <c r="BM283">
        <v>69.44</v>
      </c>
      <c r="BN283">
        <v>11400.1</v>
      </c>
      <c r="BO283">
        <v>40331.47</v>
      </c>
      <c r="BP283">
        <v>40331.47</v>
      </c>
      <c r="BQ283">
        <v>43287.86</v>
      </c>
      <c r="BR283">
        <v>2956.4</v>
      </c>
      <c r="BS283" t="s">
        <v>892</v>
      </c>
      <c r="BT283">
        <v>2951.16</v>
      </c>
      <c r="BV283" t="s">
        <v>2875</v>
      </c>
      <c r="BW283" t="s">
        <v>2876</v>
      </c>
      <c r="BX283" t="s">
        <v>1007</v>
      </c>
      <c r="BY283" t="s">
        <v>2932</v>
      </c>
      <c r="CD283" t="s">
        <v>2922</v>
      </c>
      <c r="CG283" t="s">
        <v>2925</v>
      </c>
      <c r="CH283" t="s">
        <v>1495</v>
      </c>
      <c r="CI283" t="s">
        <v>2933</v>
      </c>
      <c r="CJ283" t="s">
        <v>2933</v>
      </c>
      <c r="CM283" t="s">
        <v>1044</v>
      </c>
      <c r="CN283" t="s">
        <v>1045</v>
      </c>
      <c r="CO283" t="s">
        <v>2934</v>
      </c>
      <c r="CP283" t="s">
        <v>974</v>
      </c>
      <c r="CT283" t="s">
        <v>901</v>
      </c>
    </row>
    <row r="284" spans="1:98" x14ac:dyDescent="0.15">
      <c r="A284" t="s">
        <v>861</v>
      </c>
      <c r="B284" t="s">
        <v>862</v>
      </c>
      <c r="C284" t="s">
        <v>204</v>
      </c>
      <c r="D284" t="s">
        <v>204</v>
      </c>
      <c r="E284" t="s">
        <v>204</v>
      </c>
      <c r="F284" t="s">
        <v>863</v>
      </c>
      <c r="G284" t="s">
        <v>1025</v>
      </c>
      <c r="H284" t="s">
        <v>865</v>
      </c>
      <c r="I284" t="s">
        <v>203</v>
      </c>
      <c r="J284" t="s">
        <v>2935</v>
      </c>
      <c r="K284" t="s">
        <v>1481</v>
      </c>
      <c r="L284" t="s">
        <v>868</v>
      </c>
      <c r="N284" t="s">
        <v>861</v>
      </c>
      <c r="O284">
        <v>0</v>
      </c>
      <c r="P284" t="s">
        <v>869</v>
      </c>
      <c r="Q284" t="s">
        <v>125</v>
      </c>
      <c r="R284" t="s">
        <v>870</v>
      </c>
      <c r="S284" t="s">
        <v>871</v>
      </c>
      <c r="T284" t="s">
        <v>1499</v>
      </c>
      <c r="U284" t="s">
        <v>1499</v>
      </c>
      <c r="V284" t="s">
        <v>974</v>
      </c>
      <c r="Y284" t="s">
        <v>874</v>
      </c>
      <c r="Z284" t="s">
        <v>861</v>
      </c>
      <c r="AA284" t="s">
        <v>958</v>
      </c>
      <c r="AB284" t="s">
        <v>2936</v>
      </c>
      <c r="AD284" t="s">
        <v>1484</v>
      </c>
      <c r="AF284" t="s">
        <v>2867</v>
      </c>
      <c r="AG284" t="s">
        <v>2937</v>
      </c>
      <c r="AH284" t="s">
        <v>2869</v>
      </c>
      <c r="AI284" t="s">
        <v>2938</v>
      </c>
      <c r="AJ284" t="s">
        <v>861</v>
      </c>
      <c r="AK284" t="s">
        <v>880</v>
      </c>
      <c r="AL284" t="s">
        <v>881</v>
      </c>
      <c r="AM284" t="s">
        <v>882</v>
      </c>
      <c r="AN284" t="s">
        <v>882</v>
      </c>
      <c r="AO284" t="s">
        <v>2939</v>
      </c>
      <c r="AP284" t="s">
        <v>1226</v>
      </c>
      <c r="AQ284" t="s">
        <v>2940</v>
      </c>
      <c r="AR284" t="s">
        <v>2940</v>
      </c>
      <c r="AS284" t="s">
        <v>2940</v>
      </c>
      <c r="AT284" t="s">
        <v>2940</v>
      </c>
      <c r="AU284" t="s">
        <v>886</v>
      </c>
      <c r="AW284" t="s">
        <v>2941</v>
      </c>
      <c r="AX284" t="s">
        <v>1265</v>
      </c>
      <c r="AZ284" t="s">
        <v>942</v>
      </c>
      <c r="BA284" t="s">
        <v>888</v>
      </c>
      <c r="BH284" t="s">
        <v>1491</v>
      </c>
      <c r="BK284" t="s">
        <v>1134</v>
      </c>
      <c r="BL284">
        <v>609</v>
      </c>
      <c r="BM284">
        <v>67.959999999999994</v>
      </c>
      <c r="BN284">
        <v>9625.5</v>
      </c>
      <c r="BO284">
        <v>23988.52</v>
      </c>
      <c r="BP284">
        <v>23988.52</v>
      </c>
      <c r="BQ284">
        <v>26942.95</v>
      </c>
      <c r="BR284">
        <v>2954.42</v>
      </c>
      <c r="BS284" t="s">
        <v>892</v>
      </c>
      <c r="BT284">
        <v>2951.16</v>
      </c>
      <c r="BV284" t="s">
        <v>2875</v>
      </c>
      <c r="BW284" t="s">
        <v>2876</v>
      </c>
      <c r="BX284" t="s">
        <v>1007</v>
      </c>
      <c r="BY284" t="s">
        <v>2932</v>
      </c>
      <c r="CD284" t="s">
        <v>2942</v>
      </c>
      <c r="CG284" t="s">
        <v>2935</v>
      </c>
      <c r="CH284" t="s">
        <v>1495</v>
      </c>
      <c r="CI284" t="s">
        <v>2943</v>
      </c>
      <c r="CJ284" t="s">
        <v>2943</v>
      </c>
      <c r="CM284" t="s">
        <v>1044</v>
      </c>
      <c r="CN284" t="s">
        <v>1045</v>
      </c>
      <c r="CO284" t="s">
        <v>2944</v>
      </c>
      <c r="CP284" t="s">
        <v>974</v>
      </c>
      <c r="CT284" t="s">
        <v>901</v>
      </c>
    </row>
    <row r="285" spans="1:98" x14ac:dyDescent="0.15">
      <c r="A285" t="s">
        <v>861</v>
      </c>
      <c r="B285" t="s">
        <v>862</v>
      </c>
      <c r="C285" t="s">
        <v>206</v>
      </c>
      <c r="D285" t="s">
        <v>206</v>
      </c>
      <c r="E285" t="s">
        <v>206</v>
      </c>
      <c r="F285" t="s">
        <v>863</v>
      </c>
      <c r="G285" t="s">
        <v>1025</v>
      </c>
      <c r="H285" t="s">
        <v>865</v>
      </c>
      <c r="I285" t="s">
        <v>205</v>
      </c>
      <c r="J285" t="s">
        <v>2945</v>
      </c>
      <c r="K285" t="s">
        <v>1481</v>
      </c>
      <c r="L285" t="s">
        <v>868</v>
      </c>
      <c r="N285" t="s">
        <v>861</v>
      </c>
      <c r="O285">
        <v>0</v>
      </c>
      <c r="P285" t="s">
        <v>869</v>
      </c>
      <c r="Q285" t="s">
        <v>125</v>
      </c>
      <c r="R285" t="s">
        <v>870</v>
      </c>
      <c r="S285" t="s">
        <v>871</v>
      </c>
      <c r="T285" t="s">
        <v>1499</v>
      </c>
      <c r="U285" t="s">
        <v>1499</v>
      </c>
      <c r="V285" t="s">
        <v>974</v>
      </c>
      <c r="Y285" t="s">
        <v>874</v>
      </c>
      <c r="Z285" t="s">
        <v>861</v>
      </c>
      <c r="AA285" t="s">
        <v>958</v>
      </c>
      <c r="AB285" t="s">
        <v>2946</v>
      </c>
      <c r="AF285" t="s">
        <v>2867</v>
      </c>
      <c r="AG285" t="s">
        <v>2947</v>
      </c>
      <c r="AH285" t="s">
        <v>2869</v>
      </c>
      <c r="AI285" t="s">
        <v>2948</v>
      </c>
      <c r="AJ285" t="s">
        <v>861</v>
      </c>
      <c r="AK285" t="s">
        <v>880</v>
      </c>
      <c r="AL285" t="s">
        <v>881</v>
      </c>
      <c r="AM285" t="s">
        <v>882</v>
      </c>
      <c r="AN285" t="s">
        <v>882</v>
      </c>
      <c r="AO285" t="s">
        <v>2949</v>
      </c>
      <c r="AP285" t="s">
        <v>1226</v>
      </c>
      <c r="AQ285" t="s">
        <v>2950</v>
      </c>
      <c r="AR285" t="s">
        <v>2950</v>
      </c>
      <c r="AS285" t="s">
        <v>2950</v>
      </c>
      <c r="AT285" t="s">
        <v>2950</v>
      </c>
      <c r="AU285" t="s">
        <v>886</v>
      </c>
      <c r="AW285" t="s">
        <v>2951</v>
      </c>
      <c r="AX285" t="s">
        <v>1418</v>
      </c>
      <c r="AZ285" t="s">
        <v>942</v>
      </c>
      <c r="BA285" t="s">
        <v>888</v>
      </c>
      <c r="BK285" t="s">
        <v>1134</v>
      </c>
      <c r="BL285">
        <v>850</v>
      </c>
      <c r="BM285">
        <v>66.47</v>
      </c>
      <c r="BN285">
        <v>13397</v>
      </c>
      <c r="BO285">
        <v>26808.400000000001</v>
      </c>
      <c r="BP285">
        <v>26808.400000000001</v>
      </c>
      <c r="BQ285">
        <v>29763.13</v>
      </c>
      <c r="BR285">
        <v>2954.76</v>
      </c>
      <c r="BS285" t="s">
        <v>892</v>
      </c>
      <c r="BT285">
        <v>2951.16</v>
      </c>
      <c r="BV285" t="s">
        <v>2875</v>
      </c>
      <c r="BW285" t="s">
        <v>2876</v>
      </c>
      <c r="BX285" t="s">
        <v>1007</v>
      </c>
      <c r="BY285" t="s">
        <v>2932</v>
      </c>
      <c r="CD285" t="s">
        <v>2952</v>
      </c>
      <c r="CG285" t="s">
        <v>2945</v>
      </c>
      <c r="CH285" t="s">
        <v>1495</v>
      </c>
      <c r="CI285" t="s">
        <v>2953</v>
      </c>
      <c r="CJ285" t="s">
        <v>2953</v>
      </c>
      <c r="CM285" t="s">
        <v>1044</v>
      </c>
      <c r="CN285" t="s">
        <v>1045</v>
      </c>
      <c r="CO285" t="s">
        <v>2954</v>
      </c>
      <c r="CP285" t="s">
        <v>974</v>
      </c>
      <c r="CT285" t="s">
        <v>901</v>
      </c>
    </row>
    <row r="286" spans="1:98" x14ac:dyDescent="0.15">
      <c r="A286" t="s">
        <v>861</v>
      </c>
      <c r="B286" t="s">
        <v>862</v>
      </c>
      <c r="C286" t="s">
        <v>202</v>
      </c>
      <c r="D286" t="s">
        <v>202</v>
      </c>
      <c r="E286" t="s">
        <v>202</v>
      </c>
      <c r="F286" t="s">
        <v>863</v>
      </c>
      <c r="G286" t="s">
        <v>1025</v>
      </c>
      <c r="H286" t="s">
        <v>865</v>
      </c>
      <c r="I286" t="s">
        <v>201</v>
      </c>
      <c r="J286" t="s">
        <v>2955</v>
      </c>
      <c r="K286" t="s">
        <v>1481</v>
      </c>
      <c r="L286" t="s">
        <v>868</v>
      </c>
      <c r="N286" t="s">
        <v>861</v>
      </c>
      <c r="O286">
        <v>0</v>
      </c>
      <c r="P286" t="s">
        <v>869</v>
      </c>
      <c r="Q286" t="s">
        <v>125</v>
      </c>
      <c r="R286" t="s">
        <v>870</v>
      </c>
      <c r="S286" t="s">
        <v>871</v>
      </c>
      <c r="T286" t="s">
        <v>1499</v>
      </c>
      <c r="U286" t="s">
        <v>1499</v>
      </c>
      <c r="V286" t="s">
        <v>974</v>
      </c>
      <c r="Y286" t="s">
        <v>874</v>
      </c>
      <c r="Z286" t="s">
        <v>861</v>
      </c>
      <c r="AA286" t="s">
        <v>958</v>
      </c>
      <c r="AB286" t="s">
        <v>2956</v>
      </c>
      <c r="AF286" t="s">
        <v>2867</v>
      </c>
      <c r="AG286" t="s">
        <v>2957</v>
      </c>
      <c r="AH286" t="s">
        <v>2869</v>
      </c>
      <c r="AI286" t="s">
        <v>2958</v>
      </c>
      <c r="AJ286" t="s">
        <v>861</v>
      </c>
      <c r="AK286" t="s">
        <v>880</v>
      </c>
      <c r="AL286" t="s">
        <v>881</v>
      </c>
      <c r="AM286" t="s">
        <v>882</v>
      </c>
      <c r="AN286" t="s">
        <v>882</v>
      </c>
      <c r="AO286" t="s">
        <v>2959</v>
      </c>
      <c r="AP286" t="s">
        <v>1226</v>
      </c>
      <c r="AQ286" t="s">
        <v>2960</v>
      </c>
      <c r="AR286" t="s">
        <v>2960</v>
      </c>
      <c r="AS286" t="s">
        <v>2960</v>
      </c>
      <c r="AT286" t="s">
        <v>2960</v>
      </c>
      <c r="AU286" t="s">
        <v>886</v>
      </c>
      <c r="AW286" t="s">
        <v>2961</v>
      </c>
      <c r="AX286" t="s">
        <v>1418</v>
      </c>
      <c r="AZ286" t="s">
        <v>965</v>
      </c>
      <c r="BA286" t="s">
        <v>888</v>
      </c>
      <c r="BK286" t="s">
        <v>1134</v>
      </c>
      <c r="BL286">
        <v>627</v>
      </c>
      <c r="BM286">
        <v>67.09</v>
      </c>
      <c r="BN286">
        <v>17548.650000000001</v>
      </c>
      <c r="BO286">
        <v>28432.2</v>
      </c>
      <c r="BP286">
        <v>28432.2</v>
      </c>
      <c r="BQ286">
        <v>31387.18</v>
      </c>
      <c r="BR286">
        <v>2954.96</v>
      </c>
      <c r="BS286" t="s">
        <v>892</v>
      </c>
      <c r="BT286">
        <v>2951.16</v>
      </c>
      <c r="BV286" t="s">
        <v>2875</v>
      </c>
      <c r="BW286" t="s">
        <v>2876</v>
      </c>
      <c r="BX286" t="s">
        <v>1007</v>
      </c>
      <c r="BY286" t="s">
        <v>2962</v>
      </c>
      <c r="CD286" t="s">
        <v>2963</v>
      </c>
      <c r="CG286" t="s">
        <v>2955</v>
      </c>
      <c r="CH286" t="s">
        <v>1495</v>
      </c>
      <c r="CI286" t="s">
        <v>2964</v>
      </c>
      <c r="CJ286" t="s">
        <v>2964</v>
      </c>
      <c r="CM286" t="s">
        <v>1044</v>
      </c>
      <c r="CN286" t="s">
        <v>1045</v>
      </c>
      <c r="CO286" t="s">
        <v>2965</v>
      </c>
      <c r="CP286" t="s">
        <v>974</v>
      </c>
      <c r="CT286" t="s">
        <v>901</v>
      </c>
    </row>
    <row r="287" spans="1:98" x14ac:dyDescent="0.15">
      <c r="A287" t="s">
        <v>861</v>
      </c>
      <c r="B287" t="s">
        <v>862</v>
      </c>
      <c r="C287" t="s">
        <v>212</v>
      </c>
      <c r="D287" t="s">
        <v>212</v>
      </c>
      <c r="E287" t="s">
        <v>212</v>
      </c>
      <c r="F287" t="s">
        <v>863</v>
      </c>
      <c r="G287" t="s">
        <v>1025</v>
      </c>
      <c r="H287" t="s">
        <v>1026</v>
      </c>
      <c r="I287" t="s">
        <v>211</v>
      </c>
      <c r="J287" t="s">
        <v>2966</v>
      </c>
      <c r="K287" t="s">
        <v>1481</v>
      </c>
      <c r="L287" t="s">
        <v>868</v>
      </c>
      <c r="N287" t="s">
        <v>861</v>
      </c>
      <c r="O287">
        <v>0</v>
      </c>
      <c r="P287" t="s">
        <v>869</v>
      </c>
      <c r="Q287" t="s">
        <v>125</v>
      </c>
      <c r="R287" t="s">
        <v>870</v>
      </c>
      <c r="S287" t="s">
        <v>871</v>
      </c>
      <c r="T287" t="s">
        <v>1499</v>
      </c>
      <c r="U287" t="s">
        <v>1499</v>
      </c>
      <c r="V287" t="s">
        <v>974</v>
      </c>
      <c r="Y287" t="s">
        <v>874</v>
      </c>
      <c r="Z287" t="s">
        <v>861</v>
      </c>
      <c r="AA287" t="s">
        <v>958</v>
      </c>
      <c r="AB287" t="s">
        <v>2946</v>
      </c>
      <c r="AF287" t="s">
        <v>2867</v>
      </c>
      <c r="AG287" t="s">
        <v>2967</v>
      </c>
      <c r="AH287" t="s">
        <v>2869</v>
      </c>
      <c r="AI287" t="s">
        <v>2968</v>
      </c>
      <c r="AJ287" t="s">
        <v>861</v>
      </c>
      <c r="AK287" t="s">
        <v>880</v>
      </c>
      <c r="AL287" t="s">
        <v>881</v>
      </c>
      <c r="AM287" t="s">
        <v>882</v>
      </c>
      <c r="AN287" t="s">
        <v>882</v>
      </c>
      <c r="AO287" t="s">
        <v>2969</v>
      </c>
      <c r="AP287" t="s">
        <v>1252</v>
      </c>
      <c r="AQ287" t="s">
        <v>2885</v>
      </c>
      <c r="AR287" t="s">
        <v>2970</v>
      </c>
      <c r="AS287" t="s">
        <v>2885</v>
      </c>
      <c r="AT287" t="s">
        <v>2885</v>
      </c>
      <c r="AU287" t="s">
        <v>886</v>
      </c>
      <c r="AW287" t="s">
        <v>2887</v>
      </c>
      <c r="AX287" t="s">
        <v>1038</v>
      </c>
      <c r="AZ287" t="s">
        <v>1526</v>
      </c>
      <c r="BA287" t="s">
        <v>1265</v>
      </c>
      <c r="BB287" t="s">
        <v>2971</v>
      </c>
      <c r="BK287" t="s">
        <v>1134</v>
      </c>
      <c r="BL287">
        <v>480</v>
      </c>
      <c r="BM287">
        <v>65.349999999999994</v>
      </c>
      <c r="BN287">
        <v>4986</v>
      </c>
      <c r="BO287">
        <v>14090.2</v>
      </c>
      <c r="BP287">
        <v>14090.2</v>
      </c>
      <c r="BQ287">
        <v>17043.419999999998</v>
      </c>
      <c r="BR287">
        <v>2953.22</v>
      </c>
      <c r="BS287" t="s">
        <v>892</v>
      </c>
      <c r="BT287">
        <v>2951.16</v>
      </c>
      <c r="BV287" t="s">
        <v>2875</v>
      </c>
      <c r="BW287" t="s">
        <v>2876</v>
      </c>
      <c r="BX287" t="s">
        <v>1007</v>
      </c>
      <c r="BY287" t="s">
        <v>2962</v>
      </c>
      <c r="CD287" t="s">
        <v>2972</v>
      </c>
      <c r="CG287" t="s">
        <v>2966</v>
      </c>
      <c r="CH287" t="s">
        <v>1495</v>
      </c>
      <c r="CI287" t="s">
        <v>2973</v>
      </c>
      <c r="CJ287" t="s">
        <v>2973</v>
      </c>
      <c r="CM287" t="s">
        <v>1044</v>
      </c>
      <c r="CN287" t="s">
        <v>1045</v>
      </c>
      <c r="CO287" t="s">
        <v>2974</v>
      </c>
      <c r="CP287" t="s">
        <v>974</v>
      </c>
      <c r="CT287" t="s">
        <v>901</v>
      </c>
    </row>
    <row r="288" spans="1:98" x14ac:dyDescent="0.15">
      <c r="A288" t="s">
        <v>861</v>
      </c>
      <c r="B288" t="s">
        <v>862</v>
      </c>
      <c r="C288" t="s">
        <v>242</v>
      </c>
      <c r="D288" t="s">
        <v>242</v>
      </c>
      <c r="E288" t="s">
        <v>242</v>
      </c>
      <c r="F288" t="s">
        <v>863</v>
      </c>
      <c r="G288" t="s">
        <v>1025</v>
      </c>
      <c r="H288" t="s">
        <v>1026</v>
      </c>
      <c r="I288" t="s">
        <v>241</v>
      </c>
      <c r="J288" t="s">
        <v>2975</v>
      </c>
      <c r="K288" t="s">
        <v>1481</v>
      </c>
      <c r="L288" t="s">
        <v>868</v>
      </c>
      <c r="N288" t="s">
        <v>861</v>
      </c>
      <c r="O288">
        <v>0</v>
      </c>
      <c r="P288" t="s">
        <v>869</v>
      </c>
      <c r="Q288" t="s">
        <v>125</v>
      </c>
      <c r="R288" t="s">
        <v>870</v>
      </c>
      <c r="S288" t="s">
        <v>871</v>
      </c>
      <c r="T288" t="s">
        <v>1499</v>
      </c>
      <c r="U288" t="s">
        <v>1499</v>
      </c>
      <c r="V288" t="s">
        <v>974</v>
      </c>
      <c r="Y288" t="s">
        <v>874</v>
      </c>
      <c r="Z288" t="s">
        <v>861</v>
      </c>
      <c r="AA288" t="s">
        <v>958</v>
      </c>
      <c r="AB288" t="s">
        <v>2976</v>
      </c>
      <c r="AF288" t="s">
        <v>2867</v>
      </c>
      <c r="AG288" t="s">
        <v>2977</v>
      </c>
      <c r="AH288" t="s">
        <v>2869</v>
      </c>
      <c r="AI288" t="s">
        <v>2978</v>
      </c>
      <c r="AJ288" t="s">
        <v>861</v>
      </c>
      <c r="AK288" t="s">
        <v>880</v>
      </c>
      <c r="AL288" t="s">
        <v>881</v>
      </c>
      <c r="AM288" t="s">
        <v>882</v>
      </c>
      <c r="AN288" t="s">
        <v>882</v>
      </c>
      <c r="AO288" t="s">
        <v>2979</v>
      </c>
      <c r="AP288" t="s">
        <v>1226</v>
      </c>
      <c r="AQ288" t="s">
        <v>2885</v>
      </c>
      <c r="AR288" t="s">
        <v>2980</v>
      </c>
      <c r="AS288" t="s">
        <v>2885</v>
      </c>
      <c r="AT288" t="s">
        <v>2885</v>
      </c>
      <c r="AU288" t="s">
        <v>886</v>
      </c>
      <c r="AW288" t="s">
        <v>2887</v>
      </c>
      <c r="AX288" t="s">
        <v>1038</v>
      </c>
      <c r="AZ288" t="s">
        <v>942</v>
      </c>
      <c r="BA288" t="s">
        <v>1265</v>
      </c>
      <c r="BB288" t="s">
        <v>2981</v>
      </c>
      <c r="BK288" t="s">
        <v>1134</v>
      </c>
      <c r="BL288">
        <v>475</v>
      </c>
      <c r="BM288">
        <v>66.680000000000007</v>
      </c>
      <c r="BN288">
        <v>9914.7000000000007</v>
      </c>
      <c r="BO288">
        <v>16960.38</v>
      </c>
      <c r="BP288">
        <v>16960.38</v>
      </c>
      <c r="BQ288">
        <v>19913.939999999999</v>
      </c>
      <c r="BR288">
        <v>2953.57</v>
      </c>
      <c r="BS288" t="s">
        <v>892</v>
      </c>
      <c r="BT288">
        <v>2951.16</v>
      </c>
      <c r="BV288" t="s">
        <v>2875</v>
      </c>
      <c r="BW288" t="s">
        <v>2876</v>
      </c>
      <c r="BX288" t="s">
        <v>1007</v>
      </c>
      <c r="BY288" t="s">
        <v>2962</v>
      </c>
      <c r="CD288" t="s">
        <v>2963</v>
      </c>
      <c r="CG288" t="s">
        <v>2975</v>
      </c>
      <c r="CH288" t="s">
        <v>1495</v>
      </c>
      <c r="CI288" t="s">
        <v>2982</v>
      </c>
      <c r="CJ288" t="s">
        <v>2982</v>
      </c>
      <c r="CM288" t="s">
        <v>1044</v>
      </c>
      <c r="CN288" t="s">
        <v>1045</v>
      </c>
      <c r="CO288" t="s">
        <v>2983</v>
      </c>
      <c r="CP288" t="s">
        <v>974</v>
      </c>
      <c r="CT288" t="s">
        <v>901</v>
      </c>
    </row>
    <row r="289" spans="1:98" x14ac:dyDescent="0.15">
      <c r="A289" t="s">
        <v>861</v>
      </c>
      <c r="B289" t="s">
        <v>862</v>
      </c>
      <c r="C289" t="s">
        <v>250</v>
      </c>
      <c r="D289" t="s">
        <v>250</v>
      </c>
      <c r="E289" t="s">
        <v>250</v>
      </c>
      <c r="F289" t="s">
        <v>863</v>
      </c>
      <c r="G289" t="s">
        <v>1025</v>
      </c>
      <c r="H289" t="s">
        <v>865</v>
      </c>
      <c r="I289" t="s">
        <v>249</v>
      </c>
      <c r="J289" t="s">
        <v>2984</v>
      </c>
      <c r="K289" t="s">
        <v>1481</v>
      </c>
      <c r="L289" t="s">
        <v>868</v>
      </c>
      <c r="N289" t="s">
        <v>861</v>
      </c>
      <c r="O289">
        <v>0</v>
      </c>
      <c r="P289" t="s">
        <v>869</v>
      </c>
      <c r="Q289" t="s">
        <v>125</v>
      </c>
      <c r="R289" t="s">
        <v>870</v>
      </c>
      <c r="S289" t="s">
        <v>871</v>
      </c>
      <c r="T289" t="s">
        <v>1499</v>
      </c>
      <c r="U289" t="s">
        <v>1499</v>
      </c>
      <c r="V289" t="s">
        <v>974</v>
      </c>
      <c r="Y289" t="s">
        <v>874</v>
      </c>
      <c r="Z289" t="s">
        <v>861</v>
      </c>
      <c r="AA289" t="s">
        <v>958</v>
      </c>
      <c r="AB289" t="s">
        <v>2985</v>
      </c>
      <c r="AF289" t="s">
        <v>2867</v>
      </c>
      <c r="AG289" t="s">
        <v>2986</v>
      </c>
      <c r="AH289" t="s">
        <v>2869</v>
      </c>
      <c r="AI289" t="s">
        <v>2987</v>
      </c>
      <c r="AJ289" t="s">
        <v>861</v>
      </c>
      <c r="AK289" t="s">
        <v>880</v>
      </c>
      <c r="AL289" t="s">
        <v>881</v>
      </c>
      <c r="AM289" t="s">
        <v>882</v>
      </c>
      <c r="AN289" t="s">
        <v>882</v>
      </c>
      <c r="AO289" t="s">
        <v>2988</v>
      </c>
      <c r="AP289" t="s">
        <v>1226</v>
      </c>
      <c r="AQ289" t="s">
        <v>2989</v>
      </c>
      <c r="AR289" t="s">
        <v>2989</v>
      </c>
      <c r="AS289" t="s">
        <v>2989</v>
      </c>
      <c r="AT289" t="s">
        <v>2989</v>
      </c>
      <c r="AU289" t="s">
        <v>886</v>
      </c>
      <c r="AW289" t="s">
        <v>2990</v>
      </c>
      <c r="AX289" t="s">
        <v>1265</v>
      </c>
      <c r="AZ289" t="s">
        <v>965</v>
      </c>
      <c r="BA289" t="s">
        <v>888</v>
      </c>
      <c r="BK289" t="s">
        <v>1134</v>
      </c>
      <c r="BL289">
        <v>378</v>
      </c>
      <c r="BM289">
        <v>65.37</v>
      </c>
      <c r="BN289">
        <v>10957</v>
      </c>
      <c r="BO289">
        <v>18342.82</v>
      </c>
      <c r="BP289">
        <v>18342.82</v>
      </c>
      <c r="BQ289">
        <v>21296.560000000001</v>
      </c>
      <c r="BR289">
        <v>2953.74</v>
      </c>
      <c r="BS289" t="s">
        <v>892</v>
      </c>
      <c r="BT289">
        <v>2951.16</v>
      </c>
      <c r="BV289" t="s">
        <v>2875</v>
      </c>
      <c r="BW289" t="s">
        <v>2876</v>
      </c>
      <c r="BX289" t="s">
        <v>1007</v>
      </c>
      <c r="BY289" t="s">
        <v>2991</v>
      </c>
      <c r="CD289" t="s">
        <v>2992</v>
      </c>
      <c r="CG289" t="s">
        <v>2984</v>
      </c>
      <c r="CH289" t="s">
        <v>1495</v>
      </c>
      <c r="CI289" t="s">
        <v>2993</v>
      </c>
      <c r="CJ289" t="s">
        <v>2993</v>
      </c>
      <c r="CM289" t="s">
        <v>1044</v>
      </c>
      <c r="CN289" t="s">
        <v>1045</v>
      </c>
      <c r="CO289" t="s">
        <v>2994</v>
      </c>
      <c r="CP289" t="s">
        <v>974</v>
      </c>
      <c r="CT289" t="s">
        <v>901</v>
      </c>
    </row>
    <row r="290" spans="1:98" x14ac:dyDescent="0.15">
      <c r="A290" t="s">
        <v>861</v>
      </c>
      <c r="B290" t="s">
        <v>862</v>
      </c>
      <c r="C290" t="s">
        <v>151</v>
      </c>
      <c r="D290" t="s">
        <v>151</v>
      </c>
      <c r="E290" t="s">
        <v>151</v>
      </c>
      <c r="F290" t="s">
        <v>863</v>
      </c>
      <c r="G290" t="s">
        <v>864</v>
      </c>
      <c r="H290" t="s">
        <v>865</v>
      </c>
      <c r="I290" t="s">
        <v>150</v>
      </c>
      <c r="J290" t="s">
        <v>2995</v>
      </c>
      <c r="K290" t="s">
        <v>1481</v>
      </c>
      <c r="L290" t="s">
        <v>868</v>
      </c>
      <c r="N290" t="s">
        <v>861</v>
      </c>
      <c r="O290">
        <v>0</v>
      </c>
      <c r="P290" t="s">
        <v>869</v>
      </c>
      <c r="Q290" t="s">
        <v>125</v>
      </c>
      <c r="R290" t="s">
        <v>870</v>
      </c>
      <c r="S290" t="s">
        <v>871</v>
      </c>
      <c r="T290" t="s">
        <v>1499</v>
      </c>
      <c r="U290" t="s">
        <v>1499</v>
      </c>
      <c r="V290" t="s">
        <v>974</v>
      </c>
      <c r="Y290" t="s">
        <v>874</v>
      </c>
      <c r="Z290" t="s">
        <v>861</v>
      </c>
      <c r="AA290" t="s">
        <v>958</v>
      </c>
      <c r="AB290" t="s">
        <v>2996</v>
      </c>
      <c r="AF290" t="s">
        <v>2867</v>
      </c>
      <c r="AG290" t="s">
        <v>2997</v>
      </c>
      <c r="AH290" t="s">
        <v>2869</v>
      </c>
      <c r="AI290" t="s">
        <v>2998</v>
      </c>
      <c r="AJ290" t="s">
        <v>861</v>
      </c>
      <c r="AK290" t="s">
        <v>880</v>
      </c>
      <c r="AL290" t="s">
        <v>881</v>
      </c>
      <c r="AM290" t="s">
        <v>882</v>
      </c>
      <c r="AN290" t="s">
        <v>882</v>
      </c>
      <c r="AO290" t="s">
        <v>2999</v>
      </c>
      <c r="AP290" t="s">
        <v>1226</v>
      </c>
      <c r="AQ290" t="s">
        <v>3000</v>
      </c>
      <c r="AR290" t="s">
        <v>3000</v>
      </c>
      <c r="AS290" t="s">
        <v>3000</v>
      </c>
      <c r="AT290" t="s">
        <v>3000</v>
      </c>
      <c r="AU290" t="s">
        <v>886</v>
      </c>
      <c r="AW290" t="s">
        <v>3001</v>
      </c>
      <c r="AX290" t="s">
        <v>890</v>
      </c>
      <c r="AZ290" t="s">
        <v>965</v>
      </c>
      <c r="BA290" t="s">
        <v>988</v>
      </c>
      <c r="BK290" t="s">
        <v>1134</v>
      </c>
      <c r="BL290">
        <v>563</v>
      </c>
      <c r="BM290">
        <v>69.77</v>
      </c>
      <c r="BN290">
        <v>9119.7999999999993</v>
      </c>
      <c r="BO290">
        <v>22122.05</v>
      </c>
      <c r="BP290">
        <v>22122.05</v>
      </c>
      <c r="BQ290">
        <v>25076.25</v>
      </c>
      <c r="BR290">
        <v>2954.19</v>
      </c>
      <c r="BS290" t="s">
        <v>892</v>
      </c>
      <c r="BT290">
        <v>2951.16</v>
      </c>
      <c r="BV290" t="s">
        <v>2875</v>
      </c>
      <c r="BW290" t="s">
        <v>2876</v>
      </c>
      <c r="BX290" t="s">
        <v>1007</v>
      </c>
      <c r="BY290" t="s">
        <v>2991</v>
      </c>
      <c r="CD290" t="s">
        <v>3002</v>
      </c>
      <c r="CG290" t="s">
        <v>2995</v>
      </c>
      <c r="CH290" t="s">
        <v>1495</v>
      </c>
      <c r="CI290" t="s">
        <v>3003</v>
      </c>
      <c r="CJ290" t="s">
        <v>3003</v>
      </c>
      <c r="CM290" t="s">
        <v>1044</v>
      </c>
      <c r="CN290" t="s">
        <v>1045</v>
      </c>
      <c r="CO290" t="s">
        <v>3004</v>
      </c>
      <c r="CP290" t="s">
        <v>974</v>
      </c>
      <c r="CT290" t="s">
        <v>901</v>
      </c>
    </row>
    <row r="291" spans="1:98" x14ac:dyDescent="0.15">
      <c r="A291" t="s">
        <v>861</v>
      </c>
      <c r="B291" t="s">
        <v>862</v>
      </c>
      <c r="C291" t="s">
        <v>230</v>
      </c>
      <c r="D291" t="s">
        <v>230</v>
      </c>
      <c r="E291" t="s">
        <v>230</v>
      </c>
      <c r="F291" t="s">
        <v>863</v>
      </c>
      <c r="G291" t="s">
        <v>864</v>
      </c>
      <c r="H291" t="s">
        <v>865</v>
      </c>
      <c r="I291" t="s">
        <v>229</v>
      </c>
      <c r="J291" t="s">
        <v>3005</v>
      </c>
      <c r="K291" t="s">
        <v>1481</v>
      </c>
      <c r="L291" t="s">
        <v>868</v>
      </c>
      <c r="N291" t="s">
        <v>861</v>
      </c>
      <c r="O291">
        <v>0</v>
      </c>
      <c r="P291" t="s">
        <v>869</v>
      </c>
      <c r="Q291" t="s">
        <v>125</v>
      </c>
      <c r="R291" t="s">
        <v>870</v>
      </c>
      <c r="S291" t="s">
        <v>871</v>
      </c>
      <c r="T291" t="s">
        <v>1499</v>
      </c>
      <c r="U291" t="s">
        <v>1499</v>
      </c>
      <c r="V291" t="s">
        <v>974</v>
      </c>
      <c r="Y291" t="s">
        <v>910</v>
      </c>
      <c r="Z291" t="s">
        <v>861</v>
      </c>
      <c r="AA291" t="s">
        <v>958</v>
      </c>
      <c r="AB291" t="s">
        <v>2996</v>
      </c>
      <c r="AF291" t="s">
        <v>2867</v>
      </c>
      <c r="AG291" t="s">
        <v>3006</v>
      </c>
      <c r="AH291" t="s">
        <v>2869</v>
      </c>
      <c r="AI291" t="s">
        <v>3007</v>
      </c>
      <c r="AJ291" t="s">
        <v>861</v>
      </c>
      <c r="AK291" t="s">
        <v>880</v>
      </c>
      <c r="AL291" t="s">
        <v>913</v>
      </c>
      <c r="AM291" t="s">
        <v>882</v>
      </c>
      <c r="AN291" t="s">
        <v>882</v>
      </c>
      <c r="AO291" t="s">
        <v>3008</v>
      </c>
      <c r="AP291" t="s">
        <v>1226</v>
      </c>
      <c r="AQ291" t="s">
        <v>3009</v>
      </c>
      <c r="AR291" t="s">
        <v>3009</v>
      </c>
      <c r="AS291" t="s">
        <v>3009</v>
      </c>
      <c r="AT291" t="s">
        <v>3009</v>
      </c>
      <c r="AU291" t="s">
        <v>886</v>
      </c>
      <c r="AW291" t="s">
        <v>3010</v>
      </c>
      <c r="AX291" t="s">
        <v>890</v>
      </c>
      <c r="AZ291" t="s">
        <v>965</v>
      </c>
      <c r="BA291" t="s">
        <v>988</v>
      </c>
      <c r="BK291" t="s">
        <v>1134</v>
      </c>
      <c r="BL291">
        <v>576</v>
      </c>
      <c r="BM291">
        <v>66.64</v>
      </c>
      <c r="BN291">
        <v>15008.9</v>
      </c>
      <c r="BO291">
        <v>31682.86</v>
      </c>
      <c r="BP291">
        <v>31682.86</v>
      </c>
      <c r="BQ291">
        <v>34638.199999999997</v>
      </c>
      <c r="BR291">
        <v>2955.35</v>
      </c>
      <c r="BS291" t="s">
        <v>892</v>
      </c>
      <c r="BT291">
        <v>2951.16</v>
      </c>
      <c r="BV291" t="s">
        <v>2875</v>
      </c>
      <c r="BW291" t="s">
        <v>2876</v>
      </c>
      <c r="BX291" t="s">
        <v>1007</v>
      </c>
      <c r="BY291" t="s">
        <v>2991</v>
      </c>
      <c r="CD291" t="s">
        <v>3011</v>
      </c>
      <c r="CG291" t="s">
        <v>3005</v>
      </c>
      <c r="CH291" t="s">
        <v>1495</v>
      </c>
      <c r="CI291" t="s">
        <v>3012</v>
      </c>
      <c r="CJ291" t="s">
        <v>3012</v>
      </c>
      <c r="CM291" t="s">
        <v>1044</v>
      </c>
      <c r="CN291" t="s">
        <v>1045</v>
      </c>
      <c r="CO291" t="s">
        <v>3013</v>
      </c>
      <c r="CP291" t="s">
        <v>974</v>
      </c>
      <c r="CT291" t="s">
        <v>901</v>
      </c>
    </row>
    <row r="292" spans="1:98" x14ac:dyDescent="0.15">
      <c r="A292" t="s">
        <v>861</v>
      </c>
      <c r="B292" t="s">
        <v>862</v>
      </c>
      <c r="C292" t="s">
        <v>208</v>
      </c>
      <c r="D292" t="s">
        <v>208</v>
      </c>
      <c r="E292" t="s">
        <v>208</v>
      </c>
      <c r="F292" t="s">
        <v>863</v>
      </c>
      <c r="G292" t="s">
        <v>1025</v>
      </c>
      <c r="H292" t="s">
        <v>1026</v>
      </c>
      <c r="I292" t="s">
        <v>207</v>
      </c>
      <c r="J292" t="s">
        <v>3014</v>
      </c>
      <c r="K292" t="s">
        <v>1481</v>
      </c>
      <c r="L292" t="s">
        <v>868</v>
      </c>
      <c r="N292" t="s">
        <v>861</v>
      </c>
      <c r="O292">
        <v>0</v>
      </c>
      <c r="P292" t="s">
        <v>869</v>
      </c>
      <c r="Q292" t="s">
        <v>125</v>
      </c>
      <c r="R292" t="s">
        <v>870</v>
      </c>
      <c r="S292" t="s">
        <v>871</v>
      </c>
      <c r="T292" t="s">
        <v>2865</v>
      </c>
      <c r="U292" t="s">
        <v>2865</v>
      </c>
      <c r="V292" t="s">
        <v>974</v>
      </c>
      <c r="Y292" t="s">
        <v>874</v>
      </c>
      <c r="Z292" t="s">
        <v>861</v>
      </c>
      <c r="AA292" t="s">
        <v>958</v>
      </c>
      <c r="AB292" t="s">
        <v>3015</v>
      </c>
      <c r="AF292" t="s">
        <v>2867</v>
      </c>
      <c r="AG292" t="s">
        <v>3016</v>
      </c>
      <c r="AH292" t="s">
        <v>2869</v>
      </c>
      <c r="AI292" t="s">
        <v>3017</v>
      </c>
      <c r="AJ292" t="s">
        <v>861</v>
      </c>
      <c r="AK292" t="s">
        <v>880</v>
      </c>
      <c r="AL292" t="s">
        <v>913</v>
      </c>
      <c r="AM292" t="s">
        <v>882</v>
      </c>
      <c r="AN292" t="s">
        <v>882</v>
      </c>
      <c r="AO292" t="s">
        <v>3018</v>
      </c>
      <c r="AP292" t="s">
        <v>1226</v>
      </c>
      <c r="AQ292" t="s">
        <v>3019</v>
      </c>
      <c r="AR292" t="s">
        <v>3019</v>
      </c>
      <c r="AS292" t="s">
        <v>3019</v>
      </c>
      <c r="AT292" t="s">
        <v>3019</v>
      </c>
      <c r="AU292" t="s">
        <v>886</v>
      </c>
      <c r="AW292" t="s">
        <v>3020</v>
      </c>
      <c r="AX292" t="s">
        <v>890</v>
      </c>
      <c r="AZ292" t="s">
        <v>965</v>
      </c>
      <c r="BA292" t="s">
        <v>988</v>
      </c>
      <c r="BB292" t="s">
        <v>3021</v>
      </c>
      <c r="BK292" t="s">
        <v>1134</v>
      </c>
      <c r="BL292">
        <v>815</v>
      </c>
      <c r="BM292">
        <v>70.23</v>
      </c>
      <c r="BN292">
        <v>9501.5</v>
      </c>
      <c r="BO292">
        <v>20902.12</v>
      </c>
      <c r="BP292">
        <v>20902.12</v>
      </c>
      <c r="BQ292">
        <v>23856.17</v>
      </c>
      <c r="BR292">
        <v>2954.05</v>
      </c>
      <c r="BS292" t="s">
        <v>892</v>
      </c>
      <c r="BT292">
        <v>2951.16</v>
      </c>
      <c r="BV292" t="s">
        <v>2875</v>
      </c>
      <c r="BW292" t="s">
        <v>2876</v>
      </c>
      <c r="BX292" t="s">
        <v>1007</v>
      </c>
      <c r="BY292" t="s">
        <v>3022</v>
      </c>
      <c r="CD292" t="s">
        <v>3023</v>
      </c>
      <c r="CG292" t="s">
        <v>3014</v>
      </c>
      <c r="CH292" t="s">
        <v>1495</v>
      </c>
      <c r="CI292" t="s">
        <v>3024</v>
      </c>
      <c r="CJ292" t="s">
        <v>3024</v>
      </c>
      <c r="CM292" t="s">
        <v>1044</v>
      </c>
      <c r="CN292" t="s">
        <v>1045</v>
      </c>
      <c r="CO292" t="s">
        <v>3025</v>
      </c>
      <c r="CP292" t="s">
        <v>974</v>
      </c>
      <c r="CT292" t="s">
        <v>901</v>
      </c>
    </row>
    <row r="293" spans="1:98" x14ac:dyDescent="0.15">
      <c r="A293" t="s">
        <v>861</v>
      </c>
      <c r="B293" t="s">
        <v>862</v>
      </c>
      <c r="C293" t="s">
        <v>238</v>
      </c>
      <c r="D293" t="s">
        <v>238</v>
      </c>
      <c r="E293" t="s">
        <v>238</v>
      </c>
      <c r="F293" t="s">
        <v>863</v>
      </c>
      <c r="G293" t="s">
        <v>1025</v>
      </c>
      <c r="H293" t="s">
        <v>1026</v>
      </c>
      <c r="I293" t="s">
        <v>237</v>
      </c>
      <c r="J293" t="s">
        <v>3026</v>
      </c>
      <c r="K293" t="s">
        <v>1481</v>
      </c>
      <c r="L293" t="s">
        <v>868</v>
      </c>
      <c r="N293" t="s">
        <v>861</v>
      </c>
      <c r="O293">
        <v>0</v>
      </c>
      <c r="P293" t="s">
        <v>869</v>
      </c>
      <c r="Q293" t="s">
        <v>15</v>
      </c>
      <c r="R293" t="s">
        <v>870</v>
      </c>
      <c r="S293" t="s">
        <v>954</v>
      </c>
      <c r="T293" t="s">
        <v>1499</v>
      </c>
      <c r="U293" t="s">
        <v>1499</v>
      </c>
      <c r="V293" t="s">
        <v>1272</v>
      </c>
      <c r="W293" t="s">
        <v>1500</v>
      </c>
      <c r="Y293" t="s">
        <v>874</v>
      </c>
      <c r="Z293" t="s">
        <v>861</v>
      </c>
      <c r="AA293" t="s">
        <v>875</v>
      </c>
      <c r="AD293" t="s">
        <v>1484</v>
      </c>
      <c r="AF293" t="s">
        <v>1501</v>
      </c>
      <c r="AG293" t="s">
        <v>3027</v>
      </c>
      <c r="AH293" t="s">
        <v>964</v>
      </c>
      <c r="AI293" t="s">
        <v>1226</v>
      </c>
      <c r="AJ293" t="s">
        <v>861</v>
      </c>
      <c r="AK293" t="s">
        <v>880</v>
      </c>
      <c r="AL293" t="s">
        <v>1001</v>
      </c>
      <c r="AM293" t="s">
        <v>967</v>
      </c>
      <c r="AN293" t="s">
        <v>967</v>
      </c>
      <c r="AO293" t="s">
        <v>3028</v>
      </c>
      <c r="AP293" t="s">
        <v>1226</v>
      </c>
      <c r="AQ293" t="s">
        <v>1252</v>
      </c>
      <c r="AR293" t="s">
        <v>3029</v>
      </c>
      <c r="AS293" t="s">
        <v>1252</v>
      </c>
      <c r="AT293" t="s">
        <v>1252</v>
      </c>
      <c r="AU293" t="s">
        <v>886</v>
      </c>
      <c r="AW293" t="s">
        <v>999</v>
      </c>
      <c r="AX293" t="s">
        <v>1088</v>
      </c>
      <c r="AZ293" t="s">
        <v>883</v>
      </c>
      <c r="BA293" t="s">
        <v>1226</v>
      </c>
      <c r="BB293" t="s">
        <v>3030</v>
      </c>
      <c r="BK293" t="s">
        <v>1134</v>
      </c>
      <c r="BL293">
        <v>574</v>
      </c>
      <c r="BM293">
        <v>66.849999999999994</v>
      </c>
      <c r="BN293">
        <v>9377</v>
      </c>
      <c r="BO293">
        <v>21470.68</v>
      </c>
      <c r="BP293">
        <v>21470.68</v>
      </c>
      <c r="BQ293">
        <v>24300.62</v>
      </c>
      <c r="BR293">
        <v>2829.94</v>
      </c>
      <c r="BS293" t="s">
        <v>892</v>
      </c>
      <c r="BT293">
        <v>2827</v>
      </c>
      <c r="BV293" t="s">
        <v>1507</v>
      </c>
      <c r="BW293" t="s">
        <v>1508</v>
      </c>
      <c r="BX293" t="s">
        <v>895</v>
      </c>
      <c r="BY293" t="s">
        <v>3031</v>
      </c>
      <c r="CD293" t="s">
        <v>2352</v>
      </c>
      <c r="CG293" t="s">
        <v>3026</v>
      </c>
      <c r="CH293" t="s">
        <v>1495</v>
      </c>
      <c r="CI293" t="s">
        <v>3032</v>
      </c>
      <c r="CJ293" t="s">
        <v>3032</v>
      </c>
      <c r="CM293" t="s">
        <v>1044</v>
      </c>
      <c r="CN293" t="s">
        <v>1045</v>
      </c>
      <c r="CO293" t="s">
        <v>3033</v>
      </c>
      <c r="CP293" t="s">
        <v>1272</v>
      </c>
      <c r="CT293" t="s">
        <v>901</v>
      </c>
    </row>
    <row r="294" spans="1:98" x14ac:dyDescent="0.15">
      <c r="A294" t="s">
        <v>861</v>
      </c>
      <c r="B294" t="s">
        <v>862</v>
      </c>
      <c r="C294" t="s">
        <v>457</v>
      </c>
      <c r="D294" t="s">
        <v>457</v>
      </c>
      <c r="E294" t="s">
        <v>457</v>
      </c>
      <c r="F294" t="s">
        <v>863</v>
      </c>
      <c r="G294" t="s">
        <v>1025</v>
      </c>
      <c r="H294" t="s">
        <v>1026</v>
      </c>
      <c r="I294" t="s">
        <v>456</v>
      </c>
      <c r="J294" t="s">
        <v>3034</v>
      </c>
      <c r="K294" t="s">
        <v>1481</v>
      </c>
      <c r="L294" t="s">
        <v>868</v>
      </c>
      <c r="N294" t="s">
        <v>861</v>
      </c>
      <c r="O294">
        <v>0</v>
      </c>
      <c r="P294" t="s">
        <v>869</v>
      </c>
      <c r="Q294" t="s">
        <v>15</v>
      </c>
      <c r="R294" t="s">
        <v>870</v>
      </c>
      <c r="S294" t="s">
        <v>954</v>
      </c>
      <c r="T294" t="s">
        <v>1499</v>
      </c>
      <c r="U294" t="s">
        <v>1499</v>
      </c>
      <c r="V294" t="s">
        <v>1048</v>
      </c>
      <c r="W294" t="s">
        <v>1500</v>
      </c>
      <c r="Y294" t="s">
        <v>874</v>
      </c>
      <c r="Z294" t="s">
        <v>861</v>
      </c>
      <c r="AA294" t="s">
        <v>875</v>
      </c>
      <c r="AD294" t="s">
        <v>1484</v>
      </c>
      <c r="AF294" t="s">
        <v>1501</v>
      </c>
      <c r="AG294" t="s">
        <v>3035</v>
      </c>
      <c r="AH294" t="s">
        <v>964</v>
      </c>
      <c r="AI294" t="s">
        <v>1226</v>
      </c>
      <c r="AJ294" t="s">
        <v>861</v>
      </c>
      <c r="AK294" t="s">
        <v>880</v>
      </c>
      <c r="AL294" t="s">
        <v>1001</v>
      </c>
      <c r="AM294" t="s">
        <v>967</v>
      </c>
      <c r="AN294" t="s">
        <v>967</v>
      </c>
      <c r="AO294" t="s">
        <v>3036</v>
      </c>
      <c r="AP294" t="s">
        <v>1226</v>
      </c>
      <c r="AQ294" t="s">
        <v>1252</v>
      </c>
      <c r="AR294" t="s">
        <v>3037</v>
      </c>
      <c r="AS294" t="s">
        <v>1252</v>
      </c>
      <c r="AT294" t="s">
        <v>1252</v>
      </c>
      <c r="AU294" t="s">
        <v>886</v>
      </c>
      <c r="AW294" t="s">
        <v>999</v>
      </c>
      <c r="AX294" t="s">
        <v>1088</v>
      </c>
      <c r="AZ294" t="s">
        <v>883</v>
      </c>
      <c r="BA294" t="s">
        <v>1226</v>
      </c>
      <c r="BB294" t="s">
        <v>3038</v>
      </c>
      <c r="BH294" t="s">
        <v>1506</v>
      </c>
      <c r="BK294" t="s">
        <v>1134</v>
      </c>
      <c r="BL294">
        <v>535</v>
      </c>
      <c r="BM294">
        <v>66.66</v>
      </c>
      <c r="BN294">
        <v>7135.5</v>
      </c>
      <c r="BO294">
        <v>25692.799999999999</v>
      </c>
      <c r="BP294">
        <v>25692.799999999999</v>
      </c>
      <c r="BQ294">
        <v>28523.23</v>
      </c>
      <c r="BR294">
        <v>2830.45</v>
      </c>
      <c r="BS294" t="s">
        <v>892</v>
      </c>
      <c r="BT294">
        <v>2827</v>
      </c>
      <c r="BV294" t="s">
        <v>1507</v>
      </c>
      <c r="BW294" t="s">
        <v>1508</v>
      </c>
      <c r="BX294" t="s">
        <v>895</v>
      </c>
      <c r="BY294" t="s">
        <v>3031</v>
      </c>
      <c r="CD294" t="s">
        <v>3039</v>
      </c>
      <c r="CG294" t="s">
        <v>3034</v>
      </c>
      <c r="CH294" t="s">
        <v>1495</v>
      </c>
      <c r="CI294" t="s">
        <v>3040</v>
      </c>
      <c r="CJ294" t="s">
        <v>3040</v>
      </c>
      <c r="CM294" t="s">
        <v>1044</v>
      </c>
      <c r="CN294" t="s">
        <v>1045</v>
      </c>
      <c r="CO294" t="s">
        <v>3041</v>
      </c>
      <c r="CP294" t="s">
        <v>1272</v>
      </c>
      <c r="CT294" t="s">
        <v>901</v>
      </c>
    </row>
    <row r="295" spans="1:98" x14ac:dyDescent="0.15">
      <c r="A295" t="s">
        <v>861</v>
      </c>
      <c r="B295" t="s">
        <v>862</v>
      </c>
      <c r="C295" t="s">
        <v>469</v>
      </c>
      <c r="D295" t="s">
        <v>469</v>
      </c>
      <c r="E295" t="s">
        <v>469</v>
      </c>
      <c r="F295" t="s">
        <v>863</v>
      </c>
      <c r="G295" t="s">
        <v>1025</v>
      </c>
      <c r="H295" t="s">
        <v>1026</v>
      </c>
      <c r="I295" t="s">
        <v>468</v>
      </c>
      <c r="J295" t="s">
        <v>3042</v>
      </c>
      <c r="K295" t="s">
        <v>1481</v>
      </c>
      <c r="L295" t="s">
        <v>868</v>
      </c>
      <c r="N295" t="s">
        <v>861</v>
      </c>
      <c r="O295">
        <v>0</v>
      </c>
      <c r="P295" t="s">
        <v>869</v>
      </c>
      <c r="Q295" t="s">
        <v>15</v>
      </c>
      <c r="R295" t="s">
        <v>870</v>
      </c>
      <c r="S295" t="s">
        <v>954</v>
      </c>
      <c r="T295" t="s">
        <v>1499</v>
      </c>
      <c r="U295" t="s">
        <v>1499</v>
      </c>
      <c r="V295" t="s">
        <v>1048</v>
      </c>
      <c r="W295" t="s">
        <v>1500</v>
      </c>
      <c r="Y295" t="s">
        <v>874</v>
      </c>
      <c r="Z295" t="s">
        <v>861</v>
      </c>
      <c r="AA295" t="s">
        <v>875</v>
      </c>
      <c r="AF295" t="s">
        <v>1501</v>
      </c>
      <c r="AG295" t="s">
        <v>3043</v>
      </c>
      <c r="AH295" t="s">
        <v>964</v>
      </c>
      <c r="AI295" t="s">
        <v>1226</v>
      </c>
      <c r="AJ295" t="s">
        <v>861</v>
      </c>
      <c r="AK295" t="s">
        <v>880</v>
      </c>
      <c r="AL295" t="s">
        <v>1001</v>
      </c>
      <c r="AM295" t="s">
        <v>967</v>
      </c>
      <c r="AN295" t="s">
        <v>967</v>
      </c>
      <c r="AO295" t="s">
        <v>3044</v>
      </c>
      <c r="AP295" t="s">
        <v>1226</v>
      </c>
      <c r="AQ295" t="s">
        <v>1252</v>
      </c>
      <c r="AR295" t="s">
        <v>3045</v>
      </c>
      <c r="AS295" t="s">
        <v>1252</v>
      </c>
      <c r="AT295" t="s">
        <v>1252</v>
      </c>
      <c r="AU295" t="s">
        <v>886</v>
      </c>
      <c r="AW295" t="s">
        <v>999</v>
      </c>
      <c r="AX295" t="s">
        <v>1088</v>
      </c>
      <c r="AZ295" t="s">
        <v>883</v>
      </c>
      <c r="BA295" t="s">
        <v>1226</v>
      </c>
      <c r="BB295" t="s">
        <v>3046</v>
      </c>
      <c r="BK295" t="s">
        <v>1134</v>
      </c>
      <c r="BL295">
        <v>669</v>
      </c>
      <c r="BM295">
        <v>65.31</v>
      </c>
      <c r="BN295">
        <v>7122.2</v>
      </c>
      <c r="BO295">
        <v>11420.13</v>
      </c>
      <c r="BP295">
        <v>11420.13</v>
      </c>
      <c r="BQ295">
        <v>14248.86</v>
      </c>
      <c r="BR295">
        <v>2828.72</v>
      </c>
      <c r="BS295" t="s">
        <v>892</v>
      </c>
      <c r="BT295">
        <v>2827</v>
      </c>
      <c r="BV295" t="s">
        <v>1507</v>
      </c>
      <c r="BW295" t="s">
        <v>1508</v>
      </c>
      <c r="BX295" t="s">
        <v>895</v>
      </c>
      <c r="BY295" t="s">
        <v>3031</v>
      </c>
      <c r="CD295" t="s">
        <v>3047</v>
      </c>
      <c r="CG295" t="s">
        <v>3042</v>
      </c>
      <c r="CH295" t="s">
        <v>1495</v>
      </c>
      <c r="CI295" t="s">
        <v>3048</v>
      </c>
      <c r="CJ295" t="s">
        <v>3048</v>
      </c>
      <c r="CM295" t="s">
        <v>1044</v>
      </c>
      <c r="CN295" t="s">
        <v>1045</v>
      </c>
      <c r="CO295" t="s">
        <v>3049</v>
      </c>
      <c r="CP295" t="s">
        <v>1272</v>
      </c>
      <c r="CT295" t="s">
        <v>901</v>
      </c>
    </row>
    <row r="296" spans="1:98" x14ac:dyDescent="0.15">
      <c r="A296" t="s">
        <v>861</v>
      </c>
      <c r="B296" t="s">
        <v>862</v>
      </c>
      <c r="C296" t="s">
        <v>248</v>
      </c>
      <c r="D296" t="s">
        <v>248</v>
      </c>
      <c r="E296" t="s">
        <v>248</v>
      </c>
      <c r="F296" t="s">
        <v>863</v>
      </c>
      <c r="G296" t="s">
        <v>1025</v>
      </c>
      <c r="H296" t="s">
        <v>865</v>
      </c>
      <c r="I296" t="s">
        <v>247</v>
      </c>
      <c r="J296" t="s">
        <v>3050</v>
      </c>
      <c r="K296" t="s">
        <v>1481</v>
      </c>
      <c r="L296" t="s">
        <v>868</v>
      </c>
      <c r="N296" t="s">
        <v>861</v>
      </c>
      <c r="O296">
        <v>0</v>
      </c>
      <c r="P296" t="s">
        <v>869</v>
      </c>
      <c r="Q296" t="s">
        <v>15</v>
      </c>
      <c r="R296" t="s">
        <v>870</v>
      </c>
      <c r="S296" t="s">
        <v>954</v>
      </c>
      <c r="T296" t="s">
        <v>1499</v>
      </c>
      <c r="U296" t="s">
        <v>1499</v>
      </c>
      <c r="V296" t="s">
        <v>1272</v>
      </c>
      <c r="W296" t="s">
        <v>1500</v>
      </c>
      <c r="Y296" t="s">
        <v>874</v>
      </c>
      <c r="Z296" t="s">
        <v>861</v>
      </c>
      <c r="AA296" t="s">
        <v>875</v>
      </c>
      <c r="AD296" t="s">
        <v>1484</v>
      </c>
      <c r="AF296" t="s">
        <v>1501</v>
      </c>
      <c r="AG296" t="s">
        <v>3051</v>
      </c>
      <c r="AH296" t="s">
        <v>964</v>
      </c>
      <c r="AI296" t="s">
        <v>1513</v>
      </c>
      <c r="AJ296" t="s">
        <v>861</v>
      </c>
      <c r="AK296" t="s">
        <v>880</v>
      </c>
      <c r="AL296" t="s">
        <v>966</v>
      </c>
      <c r="AM296" t="s">
        <v>967</v>
      </c>
      <c r="AP296" t="s">
        <v>1513</v>
      </c>
      <c r="AQ296" t="s">
        <v>1252</v>
      </c>
      <c r="AR296" t="s">
        <v>3052</v>
      </c>
      <c r="AS296" t="s">
        <v>1252</v>
      </c>
      <c r="AT296" t="s">
        <v>1252</v>
      </c>
      <c r="AU296" t="s">
        <v>886</v>
      </c>
      <c r="AW296" t="s">
        <v>999</v>
      </c>
      <c r="AX296" t="s">
        <v>1226</v>
      </c>
      <c r="AZ296" t="s">
        <v>1004</v>
      </c>
      <c r="BA296" t="s">
        <v>1513</v>
      </c>
      <c r="BK296" t="s">
        <v>1134</v>
      </c>
      <c r="BL296">
        <v>821</v>
      </c>
      <c r="BM296">
        <v>66.97</v>
      </c>
      <c r="BN296">
        <v>14610.5</v>
      </c>
      <c r="BO296">
        <v>33429.03</v>
      </c>
      <c r="BP296">
        <v>33429.03</v>
      </c>
      <c r="BQ296">
        <v>36260.43</v>
      </c>
      <c r="BR296">
        <v>2831.39</v>
      </c>
      <c r="BS296" t="s">
        <v>892</v>
      </c>
      <c r="BT296">
        <v>2827</v>
      </c>
      <c r="BV296" t="s">
        <v>1507</v>
      </c>
      <c r="BW296" t="s">
        <v>1508</v>
      </c>
      <c r="BX296" t="s">
        <v>895</v>
      </c>
      <c r="BY296" t="s">
        <v>3031</v>
      </c>
      <c r="CD296" t="s">
        <v>3053</v>
      </c>
      <c r="CG296" t="s">
        <v>3050</v>
      </c>
      <c r="CH296" t="s">
        <v>1495</v>
      </c>
      <c r="CI296" t="s">
        <v>3054</v>
      </c>
      <c r="CJ296" t="s">
        <v>3054</v>
      </c>
      <c r="CP296" t="s">
        <v>1272</v>
      </c>
      <c r="CT296" t="s">
        <v>901</v>
      </c>
    </row>
    <row r="297" spans="1:98" x14ac:dyDescent="0.15">
      <c r="A297" t="s">
        <v>861</v>
      </c>
      <c r="B297" t="s">
        <v>862</v>
      </c>
      <c r="C297" t="s">
        <v>214</v>
      </c>
      <c r="D297" t="s">
        <v>214</v>
      </c>
      <c r="E297" t="s">
        <v>214</v>
      </c>
      <c r="F297" t="s">
        <v>863</v>
      </c>
      <c r="G297" t="s">
        <v>1025</v>
      </c>
      <c r="H297" t="s">
        <v>865</v>
      </c>
      <c r="I297" t="s">
        <v>213</v>
      </c>
      <c r="J297" t="s">
        <v>3055</v>
      </c>
      <c r="K297" t="s">
        <v>1481</v>
      </c>
      <c r="L297" t="s">
        <v>868</v>
      </c>
      <c r="N297" t="s">
        <v>861</v>
      </c>
      <c r="O297">
        <v>0</v>
      </c>
      <c r="P297" t="s">
        <v>869</v>
      </c>
      <c r="Q297" t="s">
        <v>15</v>
      </c>
      <c r="R297" t="s">
        <v>870</v>
      </c>
      <c r="S297" t="s">
        <v>954</v>
      </c>
      <c r="T297" t="s">
        <v>1499</v>
      </c>
      <c r="U297" t="s">
        <v>1499</v>
      </c>
      <c r="V297" t="s">
        <v>1272</v>
      </c>
      <c r="W297" t="s">
        <v>1500</v>
      </c>
      <c r="Y297" t="s">
        <v>874</v>
      </c>
      <c r="Z297" t="s">
        <v>861</v>
      </c>
      <c r="AA297" t="s">
        <v>875</v>
      </c>
      <c r="AF297" t="s">
        <v>1501</v>
      </c>
      <c r="AG297" t="s">
        <v>3056</v>
      </c>
      <c r="AH297" t="s">
        <v>964</v>
      </c>
      <c r="AI297" t="s">
        <v>1226</v>
      </c>
      <c r="AJ297" t="s">
        <v>861</v>
      </c>
      <c r="AK297" t="s">
        <v>880</v>
      </c>
      <c r="AL297" t="s">
        <v>966</v>
      </c>
      <c r="AM297" t="s">
        <v>967</v>
      </c>
      <c r="AP297" t="s">
        <v>1226</v>
      </c>
      <c r="AQ297" t="s">
        <v>1252</v>
      </c>
      <c r="AR297" t="s">
        <v>3057</v>
      </c>
      <c r="AS297" t="s">
        <v>1252</v>
      </c>
      <c r="AT297" t="s">
        <v>1252</v>
      </c>
      <c r="AU297" t="s">
        <v>886</v>
      </c>
      <c r="AW297" t="s">
        <v>999</v>
      </c>
      <c r="AX297" t="s">
        <v>1226</v>
      </c>
      <c r="AZ297" t="s">
        <v>883</v>
      </c>
      <c r="BA297" t="s">
        <v>1513</v>
      </c>
      <c r="BK297" t="s">
        <v>1134</v>
      </c>
      <c r="BL297">
        <v>1330</v>
      </c>
      <c r="BM297">
        <v>63.96</v>
      </c>
      <c r="BN297">
        <v>12082</v>
      </c>
      <c r="BO297">
        <v>22393.4</v>
      </c>
      <c r="BP297">
        <v>22393.4</v>
      </c>
      <c r="BQ297">
        <v>25223.43</v>
      </c>
      <c r="BR297">
        <v>2830.05</v>
      </c>
      <c r="BS297" t="s">
        <v>892</v>
      </c>
      <c r="BT297">
        <v>2827</v>
      </c>
      <c r="BV297" t="s">
        <v>1507</v>
      </c>
      <c r="BW297" t="s">
        <v>1508</v>
      </c>
      <c r="BX297" t="s">
        <v>895</v>
      </c>
      <c r="BY297" t="s">
        <v>3058</v>
      </c>
      <c r="CD297" t="s">
        <v>3059</v>
      </c>
      <c r="CG297" t="s">
        <v>3055</v>
      </c>
      <c r="CH297" t="s">
        <v>1495</v>
      </c>
      <c r="CI297" t="s">
        <v>3060</v>
      </c>
      <c r="CJ297" t="s">
        <v>3060</v>
      </c>
      <c r="CP297" t="s">
        <v>1272</v>
      </c>
      <c r="CT297" t="s">
        <v>901</v>
      </c>
    </row>
    <row r="298" spans="1:98" x14ac:dyDescent="0.15">
      <c r="A298" t="s">
        <v>861</v>
      </c>
      <c r="B298" t="s">
        <v>862</v>
      </c>
      <c r="C298" t="s">
        <v>370</v>
      </c>
      <c r="D298" t="s">
        <v>370</v>
      </c>
      <c r="E298" t="s">
        <v>370</v>
      </c>
      <c r="F298" t="s">
        <v>863</v>
      </c>
      <c r="G298" t="s">
        <v>1025</v>
      </c>
      <c r="H298" t="s">
        <v>1026</v>
      </c>
      <c r="I298" t="s">
        <v>369</v>
      </c>
      <c r="J298" t="s">
        <v>3061</v>
      </c>
      <c r="K298" t="s">
        <v>977</v>
      </c>
      <c r="L298" t="s">
        <v>868</v>
      </c>
      <c r="N298" t="s">
        <v>861</v>
      </c>
      <c r="O298">
        <v>0</v>
      </c>
      <c r="P298" t="s">
        <v>960</v>
      </c>
      <c r="Q298" t="s">
        <v>125</v>
      </c>
      <c r="R298" t="s">
        <v>1123</v>
      </c>
      <c r="S298" t="s">
        <v>871</v>
      </c>
      <c r="T298" t="s">
        <v>1440</v>
      </c>
      <c r="U298" t="s">
        <v>1440</v>
      </c>
      <c r="V298" t="s">
        <v>956</v>
      </c>
      <c r="W298" t="s">
        <v>3062</v>
      </c>
      <c r="Y298" t="s">
        <v>874</v>
      </c>
      <c r="Z298" t="s">
        <v>861</v>
      </c>
      <c r="AA298" t="s">
        <v>875</v>
      </c>
      <c r="AD298" t="s">
        <v>923</v>
      </c>
      <c r="AE298" t="s">
        <v>3063</v>
      </c>
      <c r="AF298" t="s">
        <v>3064</v>
      </c>
      <c r="AG298" t="s">
        <v>1035</v>
      </c>
      <c r="AH298" t="s">
        <v>1032</v>
      </c>
      <c r="AI298" t="s">
        <v>1226</v>
      </c>
      <c r="AJ298" t="s">
        <v>861</v>
      </c>
      <c r="AK298" t="s">
        <v>880</v>
      </c>
      <c r="AL298" t="s">
        <v>881</v>
      </c>
      <c r="AM298" t="s">
        <v>882</v>
      </c>
      <c r="AN298" t="s">
        <v>882</v>
      </c>
      <c r="AO298" t="s">
        <v>3065</v>
      </c>
      <c r="AP298" t="s">
        <v>1226</v>
      </c>
      <c r="AQ298" t="s">
        <v>1038</v>
      </c>
      <c r="AR298" t="s">
        <v>1038</v>
      </c>
      <c r="AS298" t="s">
        <v>1038</v>
      </c>
      <c r="AT298" t="s">
        <v>1038</v>
      </c>
      <c r="AU298" t="s">
        <v>886</v>
      </c>
      <c r="AW298" t="s">
        <v>1265</v>
      </c>
      <c r="AX298" t="s">
        <v>890</v>
      </c>
      <c r="AZ298" t="s">
        <v>1017</v>
      </c>
      <c r="BA298" t="s">
        <v>988</v>
      </c>
      <c r="BB298" t="s">
        <v>1061</v>
      </c>
      <c r="BK298" t="s">
        <v>1134</v>
      </c>
      <c r="BL298">
        <v>566</v>
      </c>
      <c r="BM298">
        <v>67.66</v>
      </c>
      <c r="BN298">
        <v>9741.7999999999993</v>
      </c>
      <c r="BO298">
        <v>21869.759999999998</v>
      </c>
      <c r="BP298">
        <v>21869.759999999998</v>
      </c>
      <c r="BQ298">
        <v>24830.76</v>
      </c>
      <c r="BR298">
        <v>2961</v>
      </c>
      <c r="BS298" t="s">
        <v>892</v>
      </c>
      <c r="BT298">
        <v>2886</v>
      </c>
      <c r="BV298" t="s">
        <v>1325</v>
      </c>
      <c r="BW298" t="s">
        <v>1326</v>
      </c>
      <c r="BX298" t="s">
        <v>895</v>
      </c>
      <c r="BY298" t="s">
        <v>3066</v>
      </c>
      <c r="CD298" t="s">
        <v>3067</v>
      </c>
      <c r="CG298" t="s">
        <v>3068</v>
      </c>
      <c r="CH298" t="s">
        <v>994</v>
      </c>
      <c r="CI298" t="s">
        <v>3068</v>
      </c>
      <c r="CJ298" t="s">
        <v>3068</v>
      </c>
      <c r="CM298" t="s">
        <v>1044</v>
      </c>
      <c r="CN298" t="s">
        <v>1045</v>
      </c>
      <c r="CO298" t="s">
        <v>3069</v>
      </c>
      <c r="CP298" t="s">
        <v>1048</v>
      </c>
      <c r="CT298" t="s">
        <v>901</v>
      </c>
    </row>
    <row r="299" spans="1:98" x14ac:dyDescent="0.15">
      <c r="A299" t="s">
        <v>861</v>
      </c>
      <c r="B299" t="s">
        <v>862</v>
      </c>
      <c r="C299" t="s">
        <v>144</v>
      </c>
      <c r="D299" t="s">
        <v>144</v>
      </c>
      <c r="E299" t="s">
        <v>144</v>
      </c>
      <c r="F299" t="s">
        <v>863</v>
      </c>
      <c r="G299" t="s">
        <v>1025</v>
      </c>
      <c r="H299" t="s">
        <v>865</v>
      </c>
      <c r="I299" t="s">
        <v>143</v>
      </c>
      <c r="J299" t="s">
        <v>3070</v>
      </c>
      <c r="K299" t="s">
        <v>977</v>
      </c>
      <c r="L299" t="s">
        <v>868</v>
      </c>
      <c r="N299" t="s">
        <v>861</v>
      </c>
      <c r="O299">
        <v>0</v>
      </c>
      <c r="P299" t="s">
        <v>960</v>
      </c>
      <c r="Q299" t="s">
        <v>125</v>
      </c>
      <c r="R299" t="s">
        <v>1123</v>
      </c>
      <c r="S299" t="s">
        <v>871</v>
      </c>
      <c r="T299" t="s">
        <v>1440</v>
      </c>
      <c r="U299" t="s">
        <v>1440</v>
      </c>
      <c r="V299" t="s">
        <v>956</v>
      </c>
      <c r="W299" t="s">
        <v>3062</v>
      </c>
      <c r="Y299" t="s">
        <v>874</v>
      </c>
      <c r="Z299" t="s">
        <v>861</v>
      </c>
      <c r="AA299" t="s">
        <v>875</v>
      </c>
      <c r="AD299" t="s">
        <v>923</v>
      </c>
      <c r="AE299" t="s">
        <v>3063</v>
      </c>
      <c r="AF299" t="s">
        <v>3064</v>
      </c>
      <c r="AG299" t="s">
        <v>1260</v>
      </c>
      <c r="AH299" t="s">
        <v>1032</v>
      </c>
      <c r="AI299" t="s">
        <v>1226</v>
      </c>
      <c r="AJ299" t="s">
        <v>861</v>
      </c>
      <c r="AK299" t="s">
        <v>880</v>
      </c>
      <c r="AL299" t="s">
        <v>881</v>
      </c>
      <c r="AM299" t="s">
        <v>882</v>
      </c>
      <c r="AN299" t="s">
        <v>882</v>
      </c>
      <c r="AO299" t="s">
        <v>3071</v>
      </c>
      <c r="AP299" t="s">
        <v>1226</v>
      </c>
      <c r="AQ299" t="s">
        <v>1038</v>
      </c>
      <c r="AR299" t="s">
        <v>1038</v>
      </c>
      <c r="AS299" t="s">
        <v>1038</v>
      </c>
      <c r="AT299" t="s">
        <v>1038</v>
      </c>
      <c r="AU299" t="s">
        <v>886</v>
      </c>
      <c r="AW299" t="s">
        <v>1265</v>
      </c>
      <c r="AX299" t="s">
        <v>890</v>
      </c>
      <c r="AZ299" t="s">
        <v>1017</v>
      </c>
      <c r="BA299" t="s">
        <v>988</v>
      </c>
      <c r="BH299" t="s">
        <v>2089</v>
      </c>
      <c r="BK299" t="s">
        <v>1134</v>
      </c>
      <c r="BL299">
        <v>600</v>
      </c>
      <c r="BM299">
        <v>71.06</v>
      </c>
      <c r="BN299">
        <v>15240</v>
      </c>
      <c r="BO299">
        <v>22591.200000000001</v>
      </c>
      <c r="BP299">
        <v>22591.200000000001</v>
      </c>
      <c r="BQ299">
        <v>25552.29</v>
      </c>
      <c r="BR299">
        <v>2961.09</v>
      </c>
      <c r="BS299" t="s">
        <v>892</v>
      </c>
      <c r="BT299">
        <v>2886</v>
      </c>
      <c r="BV299" t="s">
        <v>1325</v>
      </c>
      <c r="BW299" t="s">
        <v>1326</v>
      </c>
      <c r="BX299" t="s">
        <v>895</v>
      </c>
      <c r="BY299" t="s">
        <v>3066</v>
      </c>
      <c r="CD299" t="s">
        <v>3067</v>
      </c>
      <c r="CG299" t="s">
        <v>3072</v>
      </c>
      <c r="CH299" t="s">
        <v>994</v>
      </c>
      <c r="CI299" t="s">
        <v>3072</v>
      </c>
      <c r="CJ299" t="s">
        <v>3072</v>
      </c>
      <c r="CM299" t="s">
        <v>1044</v>
      </c>
      <c r="CN299" t="s">
        <v>1045</v>
      </c>
      <c r="CO299" t="s">
        <v>3073</v>
      </c>
      <c r="CP299" t="s">
        <v>1048</v>
      </c>
      <c r="CT299" t="s">
        <v>901</v>
      </c>
    </row>
    <row r="300" spans="1:98" x14ac:dyDescent="0.15">
      <c r="A300" t="s">
        <v>1259</v>
      </c>
      <c r="B300" t="s">
        <v>862</v>
      </c>
      <c r="C300" t="s">
        <v>81</v>
      </c>
      <c r="D300" t="s">
        <v>81</v>
      </c>
      <c r="E300" t="s">
        <v>81</v>
      </c>
      <c r="F300" t="s">
        <v>863</v>
      </c>
      <c r="G300" t="s">
        <v>864</v>
      </c>
      <c r="H300" t="s">
        <v>937</v>
      </c>
      <c r="I300" t="s">
        <v>79</v>
      </c>
      <c r="J300" t="s">
        <v>3074</v>
      </c>
      <c r="K300" t="s">
        <v>867</v>
      </c>
      <c r="L300" t="s">
        <v>868</v>
      </c>
      <c r="N300" t="s">
        <v>861</v>
      </c>
      <c r="O300">
        <v>0</v>
      </c>
      <c r="P300" t="s">
        <v>952</v>
      </c>
      <c r="Q300" t="s">
        <v>11</v>
      </c>
      <c r="R300" t="s">
        <v>953</v>
      </c>
      <c r="S300" t="s">
        <v>871</v>
      </c>
      <c r="T300" t="s">
        <v>1557</v>
      </c>
      <c r="U300" t="s">
        <v>1557</v>
      </c>
      <c r="V300" t="s">
        <v>921</v>
      </c>
      <c r="Y300" t="s">
        <v>874</v>
      </c>
      <c r="Z300" t="s">
        <v>861</v>
      </c>
      <c r="AA300" t="s">
        <v>958</v>
      </c>
      <c r="AB300" t="s">
        <v>3075</v>
      </c>
      <c r="AF300" t="s">
        <v>1559</v>
      </c>
      <c r="AG300" t="s">
        <v>3076</v>
      </c>
      <c r="AH300" t="s">
        <v>878</v>
      </c>
      <c r="AI300" t="s">
        <v>3077</v>
      </c>
      <c r="AJ300" t="s">
        <v>861</v>
      </c>
      <c r="AK300" t="s">
        <v>880</v>
      </c>
      <c r="AL300" t="s">
        <v>881</v>
      </c>
      <c r="AM300" t="s">
        <v>882</v>
      </c>
      <c r="AP300" t="s">
        <v>883</v>
      </c>
      <c r="AQ300" t="s">
        <v>3078</v>
      </c>
      <c r="AS300" t="s">
        <v>3078</v>
      </c>
      <c r="AT300" t="s">
        <v>3078</v>
      </c>
      <c r="AU300" t="s">
        <v>886</v>
      </c>
      <c r="AW300" t="s">
        <v>3079</v>
      </c>
      <c r="AX300" t="s">
        <v>988</v>
      </c>
      <c r="AZ300" t="s">
        <v>1526</v>
      </c>
      <c r="BA300" t="s">
        <v>1061</v>
      </c>
      <c r="BK300" t="s">
        <v>891</v>
      </c>
      <c r="BL300">
        <v>500</v>
      </c>
      <c r="BM300">
        <v>71.5</v>
      </c>
      <c r="BN300">
        <v>16435</v>
      </c>
      <c r="BO300">
        <v>24492.5</v>
      </c>
      <c r="BP300">
        <v>24492.5</v>
      </c>
      <c r="BQ300">
        <v>24492.5</v>
      </c>
      <c r="BR300">
        <v>0</v>
      </c>
      <c r="BS300" t="s">
        <v>892</v>
      </c>
      <c r="BT300">
        <v>2639</v>
      </c>
      <c r="BV300" t="s">
        <v>1564</v>
      </c>
      <c r="BW300" t="s">
        <v>894</v>
      </c>
      <c r="BX300" t="s">
        <v>895</v>
      </c>
      <c r="BY300" t="s">
        <v>3080</v>
      </c>
      <c r="CG300" t="s">
        <v>3074</v>
      </c>
      <c r="CH300" t="s">
        <v>898</v>
      </c>
      <c r="CI300" t="s">
        <v>3081</v>
      </c>
      <c r="CJ300" t="s">
        <v>3081</v>
      </c>
      <c r="CP300" t="s">
        <v>921</v>
      </c>
      <c r="CT300" t="s">
        <v>975</v>
      </c>
    </row>
    <row r="301" spans="1:98" x14ac:dyDescent="0.15">
      <c r="A301" t="s">
        <v>861</v>
      </c>
      <c r="B301" t="s">
        <v>862</v>
      </c>
      <c r="C301" t="s">
        <v>443</v>
      </c>
      <c r="D301" t="s">
        <v>443</v>
      </c>
      <c r="E301" t="s">
        <v>443</v>
      </c>
      <c r="F301" t="s">
        <v>863</v>
      </c>
      <c r="G301" t="s">
        <v>864</v>
      </c>
      <c r="H301" t="s">
        <v>865</v>
      </c>
      <c r="I301" t="s">
        <v>442</v>
      </c>
      <c r="J301" t="s">
        <v>3082</v>
      </c>
      <c r="K301" t="s">
        <v>977</v>
      </c>
      <c r="L301" t="s">
        <v>868</v>
      </c>
      <c r="N301" t="s">
        <v>861</v>
      </c>
      <c r="O301">
        <v>0</v>
      </c>
      <c r="P301" t="s">
        <v>1142</v>
      </c>
      <c r="Q301" t="s">
        <v>15</v>
      </c>
      <c r="R301" t="s">
        <v>919</v>
      </c>
      <c r="S301" t="s">
        <v>954</v>
      </c>
      <c r="T301" t="s">
        <v>1260</v>
      </c>
      <c r="U301" t="s">
        <v>1260</v>
      </c>
      <c r="V301" t="s">
        <v>956</v>
      </c>
      <c r="W301" t="s">
        <v>1261</v>
      </c>
      <c r="Y301" t="s">
        <v>874</v>
      </c>
      <c r="Z301" t="s">
        <v>861</v>
      </c>
      <c r="AA301" t="s">
        <v>958</v>
      </c>
      <c r="AB301" t="s">
        <v>3083</v>
      </c>
      <c r="AD301" t="s">
        <v>923</v>
      </c>
      <c r="AE301" t="s">
        <v>3084</v>
      </c>
      <c r="AF301" t="s">
        <v>1263</v>
      </c>
      <c r="AG301" t="s">
        <v>1260</v>
      </c>
      <c r="AH301" t="s">
        <v>964</v>
      </c>
      <c r="AI301" t="s">
        <v>1264</v>
      </c>
      <c r="AJ301" t="s">
        <v>861</v>
      </c>
      <c r="AK301" t="s">
        <v>880</v>
      </c>
      <c r="AL301" t="s">
        <v>966</v>
      </c>
      <c r="AM301" t="s">
        <v>967</v>
      </c>
      <c r="AP301" t="s">
        <v>1264</v>
      </c>
      <c r="AQ301" t="s">
        <v>1088</v>
      </c>
      <c r="AR301" t="s">
        <v>1265</v>
      </c>
      <c r="AS301" t="s">
        <v>1088</v>
      </c>
      <c r="AT301" t="s">
        <v>1088</v>
      </c>
      <c r="AU301" t="s">
        <v>886</v>
      </c>
      <c r="AW301" t="s">
        <v>1226</v>
      </c>
      <c r="AX301" t="s">
        <v>1267</v>
      </c>
      <c r="AZ301" t="s">
        <v>965</v>
      </c>
      <c r="BA301" t="s">
        <v>1002</v>
      </c>
      <c r="BK301" t="s">
        <v>891</v>
      </c>
      <c r="BL301">
        <v>780</v>
      </c>
      <c r="BM301">
        <v>68.06</v>
      </c>
      <c r="BN301">
        <v>5260</v>
      </c>
      <c r="BO301">
        <v>16909.419999999998</v>
      </c>
      <c r="BP301">
        <v>16909.419999999998</v>
      </c>
      <c r="BQ301">
        <v>16909.419999999998</v>
      </c>
      <c r="BR301">
        <v>0</v>
      </c>
      <c r="BS301" t="s">
        <v>892</v>
      </c>
      <c r="BT301">
        <v>2906</v>
      </c>
      <c r="BV301" t="s">
        <v>1862</v>
      </c>
      <c r="BW301" t="s">
        <v>1863</v>
      </c>
      <c r="BX301" t="s">
        <v>895</v>
      </c>
      <c r="BY301" t="s">
        <v>2165</v>
      </c>
      <c r="CD301" t="s">
        <v>3085</v>
      </c>
      <c r="CG301" t="s">
        <v>3086</v>
      </c>
      <c r="CH301" t="s">
        <v>994</v>
      </c>
      <c r="CI301" t="s">
        <v>3086</v>
      </c>
      <c r="CJ301" t="s">
        <v>3086</v>
      </c>
      <c r="CP301" t="s">
        <v>1272</v>
      </c>
      <c r="CT301" t="s">
        <v>901</v>
      </c>
    </row>
    <row r="302" spans="1:98" x14ac:dyDescent="0.15">
      <c r="A302" t="s">
        <v>861</v>
      </c>
      <c r="B302" t="s">
        <v>862</v>
      </c>
      <c r="C302" t="s">
        <v>762</v>
      </c>
      <c r="D302" t="s">
        <v>762</v>
      </c>
      <c r="E302" t="s">
        <v>762</v>
      </c>
      <c r="F302" t="s">
        <v>863</v>
      </c>
      <c r="G302" t="s">
        <v>864</v>
      </c>
      <c r="H302" t="s">
        <v>863</v>
      </c>
      <c r="I302" t="s">
        <v>761</v>
      </c>
      <c r="J302" t="s">
        <v>3087</v>
      </c>
      <c r="K302" t="s">
        <v>977</v>
      </c>
      <c r="L302" t="s">
        <v>868</v>
      </c>
      <c r="N302" t="s">
        <v>861</v>
      </c>
      <c r="O302">
        <v>0</v>
      </c>
      <c r="P302" t="s">
        <v>1142</v>
      </c>
      <c r="Q302" t="s">
        <v>15</v>
      </c>
      <c r="R302" t="s">
        <v>919</v>
      </c>
      <c r="S302" t="s">
        <v>954</v>
      </c>
      <c r="T302" t="s">
        <v>1684</v>
      </c>
      <c r="U302" t="s">
        <v>1684</v>
      </c>
      <c r="V302" t="s">
        <v>1157</v>
      </c>
      <c r="W302" t="s">
        <v>1267</v>
      </c>
      <c r="Y302" t="s">
        <v>874</v>
      </c>
      <c r="Z302" t="s">
        <v>861</v>
      </c>
      <c r="AA302" t="s">
        <v>875</v>
      </c>
      <c r="AJ302" t="s">
        <v>861</v>
      </c>
      <c r="AK302" t="s">
        <v>880</v>
      </c>
      <c r="AL302" t="s">
        <v>1001</v>
      </c>
      <c r="AM302" t="s">
        <v>967</v>
      </c>
      <c r="AP302" t="s">
        <v>925</v>
      </c>
      <c r="AQ302" t="s">
        <v>965</v>
      </c>
      <c r="AS302" t="s">
        <v>965</v>
      </c>
      <c r="AT302" t="s">
        <v>965</v>
      </c>
      <c r="AU302" t="s">
        <v>886</v>
      </c>
      <c r="AW302" t="s">
        <v>969</v>
      </c>
      <c r="AX302" t="s">
        <v>889</v>
      </c>
      <c r="AZ302" t="s">
        <v>1577</v>
      </c>
      <c r="BA302" t="s">
        <v>1276</v>
      </c>
      <c r="BK302" t="s">
        <v>891</v>
      </c>
      <c r="BL302">
        <v>789</v>
      </c>
      <c r="BM302">
        <v>64.47</v>
      </c>
      <c r="BN302">
        <v>5723.64</v>
      </c>
      <c r="BO302">
        <v>14703.25</v>
      </c>
      <c r="BP302">
        <v>14703.25</v>
      </c>
      <c r="BQ302">
        <v>14703.25</v>
      </c>
      <c r="BR302">
        <v>0</v>
      </c>
      <c r="BS302" t="s">
        <v>892</v>
      </c>
      <c r="BT302">
        <v>2906</v>
      </c>
      <c r="BV302" t="s">
        <v>1472</v>
      </c>
      <c r="BW302" t="s">
        <v>1473</v>
      </c>
      <c r="BX302" t="s">
        <v>895</v>
      </c>
      <c r="BY302" t="s">
        <v>2397</v>
      </c>
      <c r="CD302" t="s">
        <v>3088</v>
      </c>
      <c r="CG302" t="s">
        <v>3089</v>
      </c>
      <c r="CH302" t="s">
        <v>994</v>
      </c>
      <c r="CI302" t="s">
        <v>3089</v>
      </c>
      <c r="CJ302" t="s">
        <v>3089</v>
      </c>
      <c r="CP302" t="s">
        <v>1157</v>
      </c>
      <c r="CT302" t="s">
        <v>901</v>
      </c>
    </row>
    <row r="303" spans="1:98" x14ac:dyDescent="0.15">
      <c r="A303" t="s">
        <v>861</v>
      </c>
      <c r="B303" t="s">
        <v>862</v>
      </c>
      <c r="C303" t="s">
        <v>387</v>
      </c>
      <c r="D303" t="s">
        <v>387</v>
      </c>
      <c r="E303" t="s">
        <v>387</v>
      </c>
      <c r="F303" t="s">
        <v>863</v>
      </c>
      <c r="G303" t="s">
        <v>1025</v>
      </c>
      <c r="H303" t="s">
        <v>1026</v>
      </c>
      <c r="I303" t="s">
        <v>386</v>
      </c>
      <c r="J303" t="s">
        <v>3090</v>
      </c>
      <c r="K303" t="s">
        <v>977</v>
      </c>
      <c r="L303" t="s">
        <v>868</v>
      </c>
      <c r="N303" t="s">
        <v>861</v>
      </c>
      <c r="O303">
        <v>0</v>
      </c>
      <c r="P303" t="s">
        <v>1142</v>
      </c>
      <c r="Q303" t="s">
        <v>36</v>
      </c>
      <c r="R303" t="s">
        <v>919</v>
      </c>
      <c r="S303" t="s">
        <v>979</v>
      </c>
      <c r="T303" t="s">
        <v>2171</v>
      </c>
      <c r="U303" t="s">
        <v>2171</v>
      </c>
      <c r="V303" t="s">
        <v>1394</v>
      </c>
      <c r="W303" t="s">
        <v>1125</v>
      </c>
      <c r="Y303" t="s">
        <v>874</v>
      </c>
      <c r="Z303" t="s">
        <v>861</v>
      </c>
      <c r="AA303" t="s">
        <v>875</v>
      </c>
      <c r="AD303" t="s">
        <v>923</v>
      </c>
      <c r="AE303" t="s">
        <v>3091</v>
      </c>
      <c r="AF303" t="s">
        <v>1127</v>
      </c>
      <c r="AG303" t="s">
        <v>995</v>
      </c>
      <c r="AH303" t="s">
        <v>1129</v>
      </c>
      <c r="AI303" t="s">
        <v>1248</v>
      </c>
      <c r="AJ303" t="s">
        <v>861</v>
      </c>
      <c r="AK303" t="s">
        <v>880</v>
      </c>
      <c r="AL303" t="s">
        <v>913</v>
      </c>
      <c r="AM303" t="s">
        <v>986</v>
      </c>
      <c r="AN303" t="s">
        <v>986</v>
      </c>
      <c r="AO303" t="s">
        <v>3092</v>
      </c>
      <c r="AP303" t="s">
        <v>1248</v>
      </c>
      <c r="AQ303" t="s">
        <v>995</v>
      </c>
      <c r="AR303" t="s">
        <v>1128</v>
      </c>
      <c r="AS303" t="s">
        <v>995</v>
      </c>
      <c r="AT303" t="s">
        <v>995</v>
      </c>
      <c r="AU303" t="s">
        <v>886</v>
      </c>
      <c r="AW303" t="s">
        <v>995</v>
      </c>
      <c r="AX303" t="s">
        <v>995</v>
      </c>
      <c r="AZ303" t="s">
        <v>968</v>
      </c>
      <c r="BA303" t="s">
        <v>1250</v>
      </c>
      <c r="BB303" t="s">
        <v>1132</v>
      </c>
      <c r="BK303" t="s">
        <v>891</v>
      </c>
      <c r="BL303">
        <v>775</v>
      </c>
      <c r="BM303">
        <v>63.98</v>
      </c>
      <c r="BN303">
        <v>7817</v>
      </c>
      <c r="BO303">
        <v>21813.49</v>
      </c>
      <c r="BP303">
        <v>21813.49</v>
      </c>
      <c r="BQ303">
        <v>21813.49</v>
      </c>
      <c r="BR303">
        <v>0</v>
      </c>
      <c r="BS303" t="s">
        <v>892</v>
      </c>
      <c r="BT303">
        <v>1764</v>
      </c>
      <c r="BV303" t="s">
        <v>3093</v>
      </c>
      <c r="BW303" t="s">
        <v>3094</v>
      </c>
      <c r="BX303" t="s">
        <v>895</v>
      </c>
      <c r="BY303" t="s">
        <v>2397</v>
      </c>
      <c r="CD303" t="s">
        <v>3095</v>
      </c>
      <c r="CG303" t="s">
        <v>3096</v>
      </c>
      <c r="CH303" t="s">
        <v>994</v>
      </c>
      <c r="CI303" t="s">
        <v>3096</v>
      </c>
      <c r="CJ303" t="s">
        <v>3096</v>
      </c>
      <c r="CM303" t="s">
        <v>1044</v>
      </c>
      <c r="CN303" t="s">
        <v>1045</v>
      </c>
      <c r="CO303" t="s">
        <v>3097</v>
      </c>
      <c r="CP303" t="s">
        <v>1441</v>
      </c>
      <c r="CT303" t="s">
        <v>901</v>
      </c>
    </row>
    <row r="304" spans="1:98" x14ac:dyDescent="0.15">
      <c r="A304" t="s">
        <v>861</v>
      </c>
      <c r="B304" t="s">
        <v>862</v>
      </c>
      <c r="C304" t="s">
        <v>256</v>
      </c>
      <c r="D304" t="s">
        <v>256</v>
      </c>
      <c r="E304" t="s">
        <v>256</v>
      </c>
      <c r="F304" t="s">
        <v>863</v>
      </c>
      <c r="G304" t="s">
        <v>1025</v>
      </c>
      <c r="H304" t="s">
        <v>1026</v>
      </c>
      <c r="I304" t="s">
        <v>255</v>
      </c>
      <c r="J304" t="s">
        <v>3098</v>
      </c>
      <c r="K304" t="s">
        <v>977</v>
      </c>
      <c r="L304" t="s">
        <v>868</v>
      </c>
      <c r="N304" t="s">
        <v>861</v>
      </c>
      <c r="O304">
        <v>0</v>
      </c>
      <c r="P304" t="s">
        <v>960</v>
      </c>
      <c r="Q304" t="s">
        <v>19</v>
      </c>
      <c r="R304" t="s">
        <v>1123</v>
      </c>
      <c r="S304" t="s">
        <v>979</v>
      </c>
      <c r="T304" t="s">
        <v>3099</v>
      </c>
      <c r="U304" t="s">
        <v>3099</v>
      </c>
      <c r="V304" t="s">
        <v>2216</v>
      </c>
      <c r="W304" t="s">
        <v>1079</v>
      </c>
      <c r="Y304" t="s">
        <v>874</v>
      </c>
      <c r="Z304" t="s">
        <v>861</v>
      </c>
      <c r="AA304" t="s">
        <v>958</v>
      </c>
      <c r="AB304" t="s">
        <v>3100</v>
      </c>
      <c r="AD304" t="s">
        <v>3101</v>
      </c>
      <c r="AF304" t="s">
        <v>3102</v>
      </c>
      <c r="AG304" t="s">
        <v>1457</v>
      </c>
      <c r="AH304" t="s">
        <v>3103</v>
      </c>
      <c r="AJ304" t="s">
        <v>861</v>
      </c>
      <c r="AK304" t="s">
        <v>880</v>
      </c>
      <c r="AL304" t="s">
        <v>913</v>
      </c>
      <c r="AM304" t="s">
        <v>986</v>
      </c>
      <c r="AN304" t="s">
        <v>986</v>
      </c>
      <c r="AO304" t="s">
        <v>3104</v>
      </c>
      <c r="AP304" t="s">
        <v>1101</v>
      </c>
      <c r="AQ304" t="s">
        <v>1131</v>
      </c>
      <c r="AR304" t="s">
        <v>1132</v>
      </c>
      <c r="AS304" t="s">
        <v>1131</v>
      </c>
      <c r="AT304" t="s">
        <v>1131</v>
      </c>
      <c r="AU304" t="s">
        <v>886</v>
      </c>
      <c r="AW304" t="s">
        <v>1131</v>
      </c>
      <c r="AX304" t="s">
        <v>1131</v>
      </c>
      <c r="AZ304" t="s">
        <v>969</v>
      </c>
      <c r="BA304" t="s">
        <v>1133</v>
      </c>
      <c r="BB304" t="s">
        <v>1037</v>
      </c>
      <c r="BK304" t="s">
        <v>1134</v>
      </c>
      <c r="BL304">
        <v>913</v>
      </c>
      <c r="BM304">
        <v>61.8</v>
      </c>
      <c r="BN304">
        <v>10287.200000000001</v>
      </c>
      <c r="BO304">
        <v>22288.52</v>
      </c>
      <c r="BP304">
        <v>22288.52</v>
      </c>
      <c r="BQ304">
        <v>24035.439999999999</v>
      </c>
      <c r="BR304">
        <v>1746.91</v>
      </c>
      <c r="BS304" t="s">
        <v>892</v>
      </c>
      <c r="BT304">
        <v>1744</v>
      </c>
      <c r="BV304" t="s">
        <v>3105</v>
      </c>
      <c r="BW304" t="s">
        <v>3106</v>
      </c>
      <c r="BX304" t="s">
        <v>895</v>
      </c>
      <c r="BY304" t="s">
        <v>1542</v>
      </c>
      <c r="CD304" t="s">
        <v>3107</v>
      </c>
      <c r="CG304" t="s">
        <v>3108</v>
      </c>
      <c r="CH304" t="s">
        <v>994</v>
      </c>
      <c r="CI304" t="s">
        <v>3108</v>
      </c>
      <c r="CJ304" t="s">
        <v>3108</v>
      </c>
      <c r="CM304" t="s">
        <v>1044</v>
      </c>
      <c r="CN304" t="s">
        <v>1045</v>
      </c>
      <c r="CO304" t="s">
        <v>3109</v>
      </c>
      <c r="CP304" t="s">
        <v>2380</v>
      </c>
      <c r="CT304" t="s">
        <v>901</v>
      </c>
    </row>
    <row r="305" spans="1:98" x14ac:dyDescent="0.15">
      <c r="A305" t="s">
        <v>861</v>
      </c>
      <c r="B305" t="s">
        <v>862</v>
      </c>
      <c r="C305" t="s">
        <v>417</v>
      </c>
      <c r="D305" t="s">
        <v>417</v>
      </c>
      <c r="E305" t="s">
        <v>417</v>
      </c>
      <c r="F305" t="s">
        <v>863</v>
      </c>
      <c r="G305" t="s">
        <v>1025</v>
      </c>
      <c r="H305" t="s">
        <v>1026</v>
      </c>
      <c r="I305" t="s">
        <v>416</v>
      </c>
      <c r="J305" t="s">
        <v>3110</v>
      </c>
      <c r="K305" t="s">
        <v>867</v>
      </c>
      <c r="L305" t="s">
        <v>868</v>
      </c>
      <c r="N305" t="s">
        <v>861</v>
      </c>
      <c r="O305">
        <v>0</v>
      </c>
      <c r="P305" t="s">
        <v>869</v>
      </c>
      <c r="Q305" t="s">
        <v>19</v>
      </c>
      <c r="R305" t="s">
        <v>870</v>
      </c>
      <c r="S305" t="s">
        <v>979</v>
      </c>
      <c r="T305" t="s">
        <v>1331</v>
      </c>
      <c r="U305" t="s">
        <v>1331</v>
      </c>
      <c r="V305" t="s">
        <v>873</v>
      </c>
      <c r="W305" t="s">
        <v>1332</v>
      </c>
      <c r="Y305" t="s">
        <v>910</v>
      </c>
      <c r="Z305" t="s">
        <v>861</v>
      </c>
      <c r="AA305" t="s">
        <v>875</v>
      </c>
      <c r="AD305" t="s">
        <v>923</v>
      </c>
      <c r="AE305" t="s">
        <v>3111</v>
      </c>
      <c r="AF305" t="s">
        <v>1335</v>
      </c>
      <c r="AG305" t="s">
        <v>3112</v>
      </c>
      <c r="AH305" t="s">
        <v>1247</v>
      </c>
      <c r="AI305" t="s">
        <v>1337</v>
      </c>
      <c r="AJ305" t="s">
        <v>861</v>
      </c>
      <c r="AK305" t="s">
        <v>880</v>
      </c>
      <c r="AL305" t="s">
        <v>913</v>
      </c>
      <c r="AM305" t="s">
        <v>986</v>
      </c>
      <c r="AN305" t="s">
        <v>986</v>
      </c>
      <c r="AO305" t="s">
        <v>3113</v>
      </c>
      <c r="AP305" t="s">
        <v>1337</v>
      </c>
      <c r="AQ305" t="s">
        <v>1028</v>
      </c>
      <c r="AR305" t="s">
        <v>3114</v>
      </c>
      <c r="AS305" t="s">
        <v>1028</v>
      </c>
      <c r="AT305" t="s">
        <v>1028</v>
      </c>
      <c r="AU305" t="s">
        <v>886</v>
      </c>
      <c r="AW305" t="s">
        <v>1028</v>
      </c>
      <c r="AX305" t="s">
        <v>1028</v>
      </c>
      <c r="AZ305" t="s">
        <v>1267</v>
      </c>
      <c r="BA305" t="s">
        <v>1340</v>
      </c>
      <c r="BB305" t="s">
        <v>3115</v>
      </c>
      <c r="BK305" t="s">
        <v>891</v>
      </c>
      <c r="BL305">
        <v>576</v>
      </c>
      <c r="BM305">
        <v>67.260000000000005</v>
      </c>
      <c r="BN305">
        <v>9208.2999999999993</v>
      </c>
      <c r="BO305">
        <v>24087.96</v>
      </c>
      <c r="BP305">
        <v>24087.96</v>
      </c>
      <c r="BQ305">
        <v>24087.96</v>
      </c>
      <c r="BR305">
        <v>0</v>
      </c>
      <c r="BS305" t="s">
        <v>892</v>
      </c>
      <c r="BT305">
        <v>1610</v>
      </c>
      <c r="BV305" t="s">
        <v>3116</v>
      </c>
      <c r="BW305" t="s">
        <v>894</v>
      </c>
      <c r="BX305" t="s">
        <v>895</v>
      </c>
      <c r="BY305" t="s">
        <v>3117</v>
      </c>
      <c r="CD305" t="s">
        <v>3118</v>
      </c>
      <c r="CG305" t="s">
        <v>3110</v>
      </c>
      <c r="CH305" t="s">
        <v>898</v>
      </c>
      <c r="CI305" t="s">
        <v>3119</v>
      </c>
      <c r="CJ305" t="s">
        <v>3119</v>
      </c>
      <c r="CM305" t="s">
        <v>1044</v>
      </c>
      <c r="CN305" t="s">
        <v>1045</v>
      </c>
      <c r="CO305" t="s">
        <v>3120</v>
      </c>
      <c r="CP305" t="s">
        <v>1275</v>
      </c>
      <c r="CT305" t="s">
        <v>901</v>
      </c>
    </row>
    <row r="306" spans="1:98" x14ac:dyDescent="0.15">
      <c r="A306" t="s">
        <v>861</v>
      </c>
      <c r="B306" t="s">
        <v>862</v>
      </c>
      <c r="C306" t="s">
        <v>306</v>
      </c>
      <c r="D306" t="s">
        <v>306</v>
      </c>
      <c r="E306" t="s">
        <v>306</v>
      </c>
      <c r="F306" t="s">
        <v>863</v>
      </c>
      <c r="G306" t="s">
        <v>1025</v>
      </c>
      <c r="H306" t="s">
        <v>1026</v>
      </c>
      <c r="I306" t="s">
        <v>305</v>
      </c>
      <c r="J306" t="s">
        <v>3121</v>
      </c>
      <c r="K306" t="s">
        <v>867</v>
      </c>
      <c r="L306" t="s">
        <v>868</v>
      </c>
      <c r="N306" t="s">
        <v>861</v>
      </c>
      <c r="O306">
        <v>0</v>
      </c>
      <c r="P306" t="s">
        <v>869</v>
      </c>
      <c r="Q306" t="s">
        <v>19</v>
      </c>
      <c r="R306" t="s">
        <v>870</v>
      </c>
      <c r="S306" t="s">
        <v>979</v>
      </c>
      <c r="T306" t="s">
        <v>1331</v>
      </c>
      <c r="U306" t="s">
        <v>1331</v>
      </c>
      <c r="V306" t="s">
        <v>873</v>
      </c>
      <c r="W306" t="s">
        <v>1332</v>
      </c>
      <c r="Y306" t="s">
        <v>874</v>
      </c>
      <c r="Z306" t="s">
        <v>861</v>
      </c>
      <c r="AA306" t="s">
        <v>875</v>
      </c>
      <c r="AD306" t="s">
        <v>923</v>
      </c>
      <c r="AE306" t="s">
        <v>3122</v>
      </c>
      <c r="AF306" t="s">
        <v>1335</v>
      </c>
      <c r="AG306" t="s">
        <v>3123</v>
      </c>
      <c r="AH306" t="s">
        <v>1247</v>
      </c>
      <c r="AI306" t="s">
        <v>1337</v>
      </c>
      <c r="AJ306" t="s">
        <v>861</v>
      </c>
      <c r="AK306" t="s">
        <v>880</v>
      </c>
      <c r="AL306" t="s">
        <v>913</v>
      </c>
      <c r="AM306" t="s">
        <v>986</v>
      </c>
      <c r="AN306" t="s">
        <v>986</v>
      </c>
      <c r="AO306" t="s">
        <v>3124</v>
      </c>
      <c r="AP306" t="s">
        <v>1337</v>
      </c>
      <c r="AQ306" t="s">
        <v>1028</v>
      </c>
      <c r="AR306" t="s">
        <v>3125</v>
      </c>
      <c r="AS306" t="s">
        <v>1028</v>
      </c>
      <c r="AT306" t="s">
        <v>1028</v>
      </c>
      <c r="AU306" t="s">
        <v>886</v>
      </c>
      <c r="AW306" t="s">
        <v>1028</v>
      </c>
      <c r="AX306" t="s">
        <v>1028</v>
      </c>
      <c r="AZ306" t="s">
        <v>1267</v>
      </c>
      <c r="BA306" t="s">
        <v>1340</v>
      </c>
      <c r="BB306" t="s">
        <v>3126</v>
      </c>
      <c r="BK306" t="s">
        <v>891</v>
      </c>
      <c r="BL306">
        <v>426</v>
      </c>
      <c r="BM306">
        <v>68.59</v>
      </c>
      <c r="BN306">
        <v>17875</v>
      </c>
      <c r="BO306">
        <v>29042.13</v>
      </c>
      <c r="BP306">
        <v>29042.13</v>
      </c>
      <c r="BQ306">
        <v>29042.13</v>
      </c>
      <c r="BR306">
        <v>0</v>
      </c>
      <c r="BS306" t="s">
        <v>892</v>
      </c>
      <c r="BT306">
        <v>1610</v>
      </c>
      <c r="BV306" t="s">
        <v>3116</v>
      </c>
      <c r="BW306" t="s">
        <v>894</v>
      </c>
      <c r="BX306" t="s">
        <v>895</v>
      </c>
      <c r="BY306" t="s">
        <v>3127</v>
      </c>
      <c r="CD306" t="s">
        <v>3118</v>
      </c>
      <c r="CG306" t="s">
        <v>3121</v>
      </c>
      <c r="CH306" t="s">
        <v>898</v>
      </c>
      <c r="CI306" t="s">
        <v>3128</v>
      </c>
      <c r="CJ306" t="s">
        <v>3128</v>
      </c>
      <c r="CM306" t="s">
        <v>1044</v>
      </c>
      <c r="CN306" t="s">
        <v>1045</v>
      </c>
      <c r="CO306" t="s">
        <v>3129</v>
      </c>
      <c r="CP306" t="s">
        <v>1275</v>
      </c>
      <c r="CT306" t="s">
        <v>901</v>
      </c>
    </row>
    <row r="307" spans="1:98" x14ac:dyDescent="0.15">
      <c r="A307" t="s">
        <v>861</v>
      </c>
      <c r="B307" t="s">
        <v>862</v>
      </c>
      <c r="C307" t="s">
        <v>262</v>
      </c>
      <c r="D307" t="s">
        <v>262</v>
      </c>
      <c r="E307" t="s">
        <v>262</v>
      </c>
      <c r="F307" t="s">
        <v>863</v>
      </c>
      <c r="G307" t="s">
        <v>1025</v>
      </c>
      <c r="H307" t="s">
        <v>1026</v>
      </c>
      <c r="I307" t="s">
        <v>261</v>
      </c>
      <c r="J307" t="s">
        <v>3130</v>
      </c>
      <c r="K307" t="s">
        <v>867</v>
      </c>
      <c r="L307" t="s">
        <v>868</v>
      </c>
      <c r="N307" t="s">
        <v>861</v>
      </c>
      <c r="O307">
        <v>0</v>
      </c>
      <c r="P307" t="s">
        <v>869</v>
      </c>
      <c r="Q307" t="s">
        <v>19</v>
      </c>
      <c r="R307" t="s">
        <v>870</v>
      </c>
      <c r="S307" t="s">
        <v>979</v>
      </c>
      <c r="T307" t="s">
        <v>1331</v>
      </c>
      <c r="U307" t="s">
        <v>1331</v>
      </c>
      <c r="V307" t="s">
        <v>873</v>
      </c>
      <c r="W307" t="s">
        <v>1332</v>
      </c>
      <c r="Y307" t="s">
        <v>874</v>
      </c>
      <c r="Z307" t="s">
        <v>861</v>
      </c>
      <c r="AA307" t="s">
        <v>875</v>
      </c>
      <c r="AD307" t="s">
        <v>923</v>
      </c>
      <c r="AE307" t="s">
        <v>3131</v>
      </c>
      <c r="AF307" t="s">
        <v>1335</v>
      </c>
      <c r="AG307" t="s">
        <v>3132</v>
      </c>
      <c r="AH307" t="s">
        <v>1247</v>
      </c>
      <c r="AI307" t="s">
        <v>999</v>
      </c>
      <c r="AJ307" t="s">
        <v>861</v>
      </c>
      <c r="AK307" t="s">
        <v>880</v>
      </c>
      <c r="AL307" t="s">
        <v>913</v>
      </c>
      <c r="AM307" t="s">
        <v>986</v>
      </c>
      <c r="AN307" t="s">
        <v>986</v>
      </c>
      <c r="AO307" t="s">
        <v>3133</v>
      </c>
      <c r="AP307" t="s">
        <v>999</v>
      </c>
      <c r="AQ307" t="s">
        <v>1028</v>
      </c>
      <c r="AR307" t="s">
        <v>3134</v>
      </c>
      <c r="AS307" t="s">
        <v>1028</v>
      </c>
      <c r="AT307" t="s">
        <v>1028</v>
      </c>
      <c r="AU307" t="s">
        <v>886</v>
      </c>
      <c r="AW307" t="s">
        <v>1028</v>
      </c>
      <c r="AX307" t="s">
        <v>1028</v>
      </c>
      <c r="AZ307" t="s">
        <v>1002</v>
      </c>
      <c r="BA307" t="s">
        <v>1340</v>
      </c>
      <c r="BB307" t="s">
        <v>3135</v>
      </c>
      <c r="BK307" t="s">
        <v>891</v>
      </c>
      <c r="BL307">
        <v>678</v>
      </c>
      <c r="BM307">
        <v>67.489999999999995</v>
      </c>
      <c r="BN307">
        <v>6921.5</v>
      </c>
      <c r="BO307">
        <v>17999.55</v>
      </c>
      <c r="BP307">
        <v>17999.55</v>
      </c>
      <c r="BQ307">
        <v>17999.55</v>
      </c>
      <c r="BR307">
        <v>0</v>
      </c>
      <c r="BS307" t="s">
        <v>892</v>
      </c>
      <c r="BT307">
        <v>1610</v>
      </c>
      <c r="BV307" t="s">
        <v>3116</v>
      </c>
      <c r="BW307" t="s">
        <v>894</v>
      </c>
      <c r="BX307" t="s">
        <v>895</v>
      </c>
      <c r="BY307" t="s">
        <v>3136</v>
      </c>
      <c r="CD307" t="s">
        <v>3137</v>
      </c>
      <c r="CG307" t="s">
        <v>3130</v>
      </c>
      <c r="CH307" t="s">
        <v>898</v>
      </c>
      <c r="CI307" t="s">
        <v>3138</v>
      </c>
      <c r="CJ307" t="s">
        <v>3138</v>
      </c>
      <c r="CM307" t="s">
        <v>1044</v>
      </c>
      <c r="CN307" t="s">
        <v>1045</v>
      </c>
      <c r="CO307" t="s">
        <v>3139</v>
      </c>
      <c r="CP307" t="s">
        <v>1275</v>
      </c>
      <c r="CT307" t="s">
        <v>901</v>
      </c>
    </row>
    <row r="308" spans="1:98" x14ac:dyDescent="0.15">
      <c r="A308" t="s">
        <v>861</v>
      </c>
      <c r="B308" t="s">
        <v>862</v>
      </c>
      <c r="C308" t="s">
        <v>280</v>
      </c>
      <c r="D308" t="s">
        <v>280</v>
      </c>
      <c r="E308" t="s">
        <v>280</v>
      </c>
      <c r="F308" t="s">
        <v>863</v>
      </c>
      <c r="G308" t="s">
        <v>1025</v>
      </c>
      <c r="H308" t="s">
        <v>1026</v>
      </c>
      <c r="I308" t="s">
        <v>279</v>
      </c>
      <c r="J308" t="s">
        <v>3140</v>
      </c>
      <c r="K308" t="s">
        <v>867</v>
      </c>
      <c r="L308" t="s">
        <v>868</v>
      </c>
      <c r="N308" t="s">
        <v>861</v>
      </c>
      <c r="O308">
        <v>0</v>
      </c>
      <c r="P308" t="s">
        <v>869</v>
      </c>
      <c r="Q308" t="s">
        <v>19</v>
      </c>
      <c r="R308" t="s">
        <v>870</v>
      </c>
      <c r="S308" t="s">
        <v>979</v>
      </c>
      <c r="T308" t="s">
        <v>1331</v>
      </c>
      <c r="U308" t="s">
        <v>1331</v>
      </c>
      <c r="V308" t="s">
        <v>873</v>
      </c>
      <c r="W308" t="s">
        <v>1332</v>
      </c>
      <c r="Y308" t="s">
        <v>874</v>
      </c>
      <c r="Z308" t="s">
        <v>861</v>
      </c>
      <c r="AA308" t="s">
        <v>875</v>
      </c>
      <c r="AD308" t="s">
        <v>923</v>
      </c>
      <c r="AE308" t="s">
        <v>3141</v>
      </c>
      <c r="AF308" t="s">
        <v>1335</v>
      </c>
      <c r="AG308" t="s">
        <v>3142</v>
      </c>
      <c r="AH308" t="s">
        <v>1247</v>
      </c>
      <c r="AI308" t="s">
        <v>1337</v>
      </c>
      <c r="AJ308" t="s">
        <v>861</v>
      </c>
      <c r="AK308" t="s">
        <v>880</v>
      </c>
      <c r="AL308" t="s">
        <v>913</v>
      </c>
      <c r="AM308" t="s">
        <v>986</v>
      </c>
      <c r="AN308" t="s">
        <v>986</v>
      </c>
      <c r="AO308" t="s">
        <v>3143</v>
      </c>
      <c r="AP308" t="s">
        <v>1337</v>
      </c>
      <c r="AQ308" t="s">
        <v>1028</v>
      </c>
      <c r="AR308" t="s">
        <v>3144</v>
      </c>
      <c r="AS308" t="s">
        <v>1028</v>
      </c>
      <c r="AT308" t="s">
        <v>1028</v>
      </c>
      <c r="AU308" t="s">
        <v>886</v>
      </c>
      <c r="AW308" t="s">
        <v>1028</v>
      </c>
      <c r="AX308" t="s">
        <v>1035</v>
      </c>
      <c r="AZ308" t="s">
        <v>1267</v>
      </c>
      <c r="BA308" t="s">
        <v>1037</v>
      </c>
      <c r="BB308" t="s">
        <v>3145</v>
      </c>
      <c r="BK308" t="s">
        <v>891</v>
      </c>
      <c r="BL308">
        <v>1070</v>
      </c>
      <c r="BM308">
        <v>64.319999999999993</v>
      </c>
      <c r="BN308">
        <v>10525.6</v>
      </c>
      <c r="BO308">
        <v>19183.759999999998</v>
      </c>
      <c r="BP308">
        <v>19183.759999999998</v>
      </c>
      <c r="BQ308">
        <v>19183.759999999998</v>
      </c>
      <c r="BR308">
        <v>0</v>
      </c>
      <c r="BS308" t="s">
        <v>892</v>
      </c>
      <c r="BT308">
        <v>1610</v>
      </c>
      <c r="BV308" t="s">
        <v>3116</v>
      </c>
      <c r="BW308" t="s">
        <v>894</v>
      </c>
      <c r="BX308" t="s">
        <v>895</v>
      </c>
      <c r="BY308" t="s">
        <v>3136</v>
      </c>
      <c r="CD308" t="s">
        <v>3146</v>
      </c>
      <c r="CG308" t="s">
        <v>3140</v>
      </c>
      <c r="CH308" t="s">
        <v>898</v>
      </c>
      <c r="CI308" t="s">
        <v>3147</v>
      </c>
      <c r="CJ308" t="s">
        <v>3147</v>
      </c>
      <c r="CM308" t="s">
        <v>1044</v>
      </c>
      <c r="CN308" t="s">
        <v>1045</v>
      </c>
      <c r="CO308" t="s">
        <v>3148</v>
      </c>
      <c r="CP308" t="s">
        <v>1275</v>
      </c>
      <c r="CT308" t="s">
        <v>901</v>
      </c>
    </row>
    <row r="309" spans="1:98" x14ac:dyDescent="0.15">
      <c r="A309" t="s">
        <v>861</v>
      </c>
      <c r="B309" t="s">
        <v>862</v>
      </c>
      <c r="C309" t="s">
        <v>433</v>
      </c>
      <c r="D309" t="s">
        <v>433</v>
      </c>
      <c r="E309" t="s">
        <v>433</v>
      </c>
      <c r="F309" t="s">
        <v>863</v>
      </c>
      <c r="G309" t="s">
        <v>864</v>
      </c>
      <c r="H309" t="s">
        <v>1026</v>
      </c>
      <c r="I309" t="s">
        <v>432</v>
      </c>
      <c r="J309" t="s">
        <v>3149</v>
      </c>
      <c r="K309" t="s">
        <v>867</v>
      </c>
      <c r="L309" t="s">
        <v>868</v>
      </c>
      <c r="N309" t="s">
        <v>861</v>
      </c>
      <c r="O309">
        <v>0</v>
      </c>
      <c r="P309" t="s">
        <v>869</v>
      </c>
      <c r="Q309" t="s">
        <v>19</v>
      </c>
      <c r="R309" t="s">
        <v>870</v>
      </c>
      <c r="S309" t="s">
        <v>979</v>
      </c>
      <c r="T309" t="s">
        <v>1331</v>
      </c>
      <c r="U309" t="s">
        <v>1331</v>
      </c>
      <c r="V309" t="s">
        <v>873</v>
      </c>
      <c r="W309" t="s">
        <v>1332</v>
      </c>
      <c r="Y309" t="s">
        <v>910</v>
      </c>
      <c r="Z309" t="s">
        <v>861</v>
      </c>
      <c r="AA309" t="s">
        <v>958</v>
      </c>
      <c r="AB309" t="s">
        <v>3150</v>
      </c>
      <c r="AD309" t="s">
        <v>923</v>
      </c>
      <c r="AE309" t="s">
        <v>3151</v>
      </c>
      <c r="AF309" t="s">
        <v>1335</v>
      </c>
      <c r="AG309" t="s">
        <v>3152</v>
      </c>
      <c r="AH309" t="s">
        <v>1247</v>
      </c>
      <c r="AI309" t="s">
        <v>1252</v>
      </c>
      <c r="AJ309" t="s">
        <v>861</v>
      </c>
      <c r="AK309" t="s">
        <v>880</v>
      </c>
      <c r="AL309" t="s">
        <v>913</v>
      </c>
      <c r="AM309" t="s">
        <v>986</v>
      </c>
      <c r="AN309" t="s">
        <v>986</v>
      </c>
      <c r="AO309" t="s">
        <v>3153</v>
      </c>
      <c r="AP309" t="s">
        <v>1252</v>
      </c>
      <c r="AQ309" t="s">
        <v>1028</v>
      </c>
      <c r="AR309" t="s">
        <v>3154</v>
      </c>
      <c r="AS309" t="s">
        <v>1028</v>
      </c>
      <c r="AT309" t="s">
        <v>1028</v>
      </c>
      <c r="AU309" t="s">
        <v>886</v>
      </c>
      <c r="AW309" t="s">
        <v>1028</v>
      </c>
      <c r="AX309" t="s">
        <v>1028</v>
      </c>
      <c r="AZ309" t="s">
        <v>1267</v>
      </c>
      <c r="BA309" t="s">
        <v>1340</v>
      </c>
      <c r="BB309" t="s">
        <v>3155</v>
      </c>
      <c r="BK309" t="s">
        <v>891</v>
      </c>
      <c r="BL309">
        <v>926</v>
      </c>
      <c r="BM309">
        <v>66.09</v>
      </c>
      <c r="BN309">
        <v>10460.5</v>
      </c>
      <c r="BO309">
        <v>24897.09</v>
      </c>
      <c r="BP309">
        <v>24897.09</v>
      </c>
      <c r="BQ309">
        <v>24897.09</v>
      </c>
      <c r="BR309">
        <v>0</v>
      </c>
      <c r="BS309" t="s">
        <v>892</v>
      </c>
      <c r="BT309">
        <v>1610</v>
      </c>
      <c r="BV309" t="s">
        <v>3116</v>
      </c>
      <c r="BW309" t="s">
        <v>894</v>
      </c>
      <c r="BX309" t="s">
        <v>895</v>
      </c>
      <c r="BY309" t="s">
        <v>3156</v>
      </c>
      <c r="CD309" t="s">
        <v>3157</v>
      </c>
      <c r="CG309" t="s">
        <v>3149</v>
      </c>
      <c r="CH309" t="s">
        <v>898</v>
      </c>
      <c r="CI309" t="s">
        <v>3158</v>
      </c>
      <c r="CJ309" t="s">
        <v>3158</v>
      </c>
      <c r="CM309" t="s">
        <v>1044</v>
      </c>
      <c r="CN309" t="s">
        <v>1045</v>
      </c>
      <c r="CO309" t="s">
        <v>3159</v>
      </c>
      <c r="CP309" t="s">
        <v>1275</v>
      </c>
      <c r="CT309" t="s">
        <v>901</v>
      </c>
    </row>
    <row r="310" spans="1:98" x14ac:dyDescent="0.15">
      <c r="A310" t="s">
        <v>861</v>
      </c>
      <c r="B310" t="s">
        <v>862</v>
      </c>
      <c r="C310" t="s">
        <v>348</v>
      </c>
      <c r="D310" t="s">
        <v>348</v>
      </c>
      <c r="E310" t="s">
        <v>348</v>
      </c>
      <c r="F310" t="s">
        <v>863</v>
      </c>
      <c r="G310" t="s">
        <v>1025</v>
      </c>
      <c r="H310" t="s">
        <v>1026</v>
      </c>
      <c r="I310" t="s">
        <v>347</v>
      </c>
      <c r="J310" t="s">
        <v>3160</v>
      </c>
      <c r="K310" t="s">
        <v>867</v>
      </c>
      <c r="L310" t="s">
        <v>868</v>
      </c>
      <c r="N310" t="s">
        <v>861</v>
      </c>
      <c r="O310">
        <v>0</v>
      </c>
      <c r="P310" t="s">
        <v>869</v>
      </c>
      <c r="Q310" t="s">
        <v>19</v>
      </c>
      <c r="R310" t="s">
        <v>870</v>
      </c>
      <c r="S310" t="s">
        <v>979</v>
      </c>
      <c r="T310" t="s">
        <v>1331</v>
      </c>
      <c r="U310" t="s">
        <v>1331</v>
      </c>
      <c r="V310" t="s">
        <v>873</v>
      </c>
      <c r="W310" t="s">
        <v>1332</v>
      </c>
      <c r="Y310" t="s">
        <v>874</v>
      </c>
      <c r="Z310" t="s">
        <v>861</v>
      </c>
      <c r="AA310" t="s">
        <v>875</v>
      </c>
      <c r="AD310" t="s">
        <v>923</v>
      </c>
      <c r="AE310" t="s">
        <v>3161</v>
      </c>
      <c r="AF310" t="s">
        <v>1335</v>
      </c>
      <c r="AG310" t="s">
        <v>3162</v>
      </c>
      <c r="AH310" t="s">
        <v>1247</v>
      </c>
      <c r="AI310" t="s">
        <v>1337</v>
      </c>
      <c r="AJ310" t="s">
        <v>861</v>
      </c>
      <c r="AK310" t="s">
        <v>880</v>
      </c>
      <c r="AL310" t="s">
        <v>913</v>
      </c>
      <c r="AM310" t="s">
        <v>986</v>
      </c>
      <c r="AN310" t="s">
        <v>986</v>
      </c>
      <c r="AO310" t="s">
        <v>2219</v>
      </c>
      <c r="AP310" t="s">
        <v>1337</v>
      </c>
      <c r="AQ310" t="s">
        <v>1028</v>
      </c>
      <c r="AR310" t="s">
        <v>3163</v>
      </c>
      <c r="AS310" t="s">
        <v>1028</v>
      </c>
      <c r="AT310" t="s">
        <v>1028</v>
      </c>
      <c r="AU310" t="s">
        <v>886</v>
      </c>
      <c r="AW310" t="s">
        <v>1028</v>
      </c>
      <c r="AX310" t="s">
        <v>1028</v>
      </c>
      <c r="AZ310" t="s">
        <v>1267</v>
      </c>
      <c r="BA310" t="s">
        <v>1340</v>
      </c>
      <c r="BB310" t="s">
        <v>3164</v>
      </c>
      <c r="BK310" t="s">
        <v>891</v>
      </c>
      <c r="BL310">
        <v>412</v>
      </c>
      <c r="BM310">
        <v>64.45</v>
      </c>
      <c r="BN310">
        <v>23032</v>
      </c>
      <c r="BO310">
        <v>36935.839999999997</v>
      </c>
      <c r="BP310">
        <v>36935.839999999997</v>
      </c>
      <c r="BQ310">
        <v>36935.839999999997</v>
      </c>
      <c r="BR310">
        <v>0</v>
      </c>
      <c r="BS310" t="s">
        <v>892</v>
      </c>
      <c r="BT310">
        <v>1610</v>
      </c>
      <c r="BV310" t="s">
        <v>3116</v>
      </c>
      <c r="BW310" t="s">
        <v>894</v>
      </c>
      <c r="BX310" t="s">
        <v>895</v>
      </c>
      <c r="BY310" t="s">
        <v>3165</v>
      </c>
      <c r="CD310" t="s">
        <v>3146</v>
      </c>
      <c r="CG310" t="s">
        <v>3160</v>
      </c>
      <c r="CH310" t="s">
        <v>898</v>
      </c>
      <c r="CI310" t="s">
        <v>3166</v>
      </c>
      <c r="CJ310" t="s">
        <v>3166</v>
      </c>
      <c r="CM310" t="s">
        <v>1044</v>
      </c>
      <c r="CN310" t="s">
        <v>1045</v>
      </c>
      <c r="CO310" t="s">
        <v>3167</v>
      </c>
      <c r="CP310" t="s">
        <v>1275</v>
      </c>
      <c r="CT310" t="s">
        <v>901</v>
      </c>
    </row>
    <row r="311" spans="1:98" x14ac:dyDescent="0.15">
      <c r="A311" t="s">
        <v>861</v>
      </c>
      <c r="B311" t="s">
        <v>862</v>
      </c>
      <c r="C311" t="s">
        <v>605</v>
      </c>
      <c r="D311" t="s">
        <v>605</v>
      </c>
      <c r="E311" t="s">
        <v>605</v>
      </c>
      <c r="F311" t="s">
        <v>863</v>
      </c>
      <c r="G311" t="s">
        <v>864</v>
      </c>
      <c r="H311" t="s">
        <v>863</v>
      </c>
      <c r="I311" t="s">
        <v>604</v>
      </c>
      <c r="J311" t="s">
        <v>3168</v>
      </c>
      <c r="K311" t="s">
        <v>867</v>
      </c>
      <c r="L311" t="s">
        <v>868</v>
      </c>
      <c r="N311" t="s">
        <v>861</v>
      </c>
      <c r="O311">
        <v>0</v>
      </c>
      <c r="P311" t="s">
        <v>869</v>
      </c>
      <c r="Q311" t="s">
        <v>11</v>
      </c>
      <c r="R311" t="s">
        <v>870</v>
      </c>
      <c r="S311" t="s">
        <v>871</v>
      </c>
      <c r="T311" t="s">
        <v>3169</v>
      </c>
      <c r="U311" t="s">
        <v>3169</v>
      </c>
      <c r="V311" t="s">
        <v>2216</v>
      </c>
      <c r="Y311" t="s">
        <v>874</v>
      </c>
      <c r="Z311" t="s">
        <v>861</v>
      </c>
      <c r="AA311" t="s">
        <v>958</v>
      </c>
      <c r="AB311" t="s">
        <v>3170</v>
      </c>
      <c r="AJ311" t="s">
        <v>861</v>
      </c>
      <c r="AK311" t="s">
        <v>880</v>
      </c>
      <c r="AL311" t="s">
        <v>881</v>
      </c>
      <c r="AM311" t="s">
        <v>882</v>
      </c>
      <c r="AP311" t="s">
        <v>942</v>
      </c>
      <c r="AQ311" t="s">
        <v>1470</v>
      </c>
      <c r="AS311" t="s">
        <v>1470</v>
      </c>
      <c r="AT311" t="s">
        <v>1470</v>
      </c>
      <c r="AU311" t="s">
        <v>886</v>
      </c>
      <c r="AW311" t="s">
        <v>1471</v>
      </c>
      <c r="AX311" t="s">
        <v>2253</v>
      </c>
      <c r="AZ311" t="s">
        <v>1003</v>
      </c>
      <c r="BA311" t="s">
        <v>1233</v>
      </c>
      <c r="BK311" t="s">
        <v>891</v>
      </c>
      <c r="BL311">
        <v>506</v>
      </c>
      <c r="BM311">
        <v>66.37</v>
      </c>
      <c r="BN311">
        <v>9607.1</v>
      </c>
      <c r="BO311">
        <v>21421</v>
      </c>
      <c r="BP311">
        <v>21421</v>
      </c>
      <c r="BQ311">
        <v>21421</v>
      </c>
      <c r="BR311">
        <v>0</v>
      </c>
      <c r="BS311" t="s">
        <v>892</v>
      </c>
      <c r="BT311">
        <v>2639</v>
      </c>
      <c r="BV311" t="s">
        <v>3171</v>
      </c>
      <c r="BW311" t="s">
        <v>1877</v>
      </c>
      <c r="BX311" t="s">
        <v>895</v>
      </c>
      <c r="BY311" t="s">
        <v>2518</v>
      </c>
      <c r="CD311" t="s">
        <v>2519</v>
      </c>
      <c r="CG311" t="s">
        <v>3168</v>
      </c>
      <c r="CH311" t="s">
        <v>898</v>
      </c>
      <c r="CI311" t="s">
        <v>3172</v>
      </c>
      <c r="CJ311" t="s">
        <v>3172</v>
      </c>
      <c r="CP311" t="s">
        <v>2380</v>
      </c>
      <c r="CT311" t="s">
        <v>901</v>
      </c>
    </row>
    <row r="312" spans="1:98" x14ac:dyDescent="0.15">
      <c r="A312" t="s">
        <v>861</v>
      </c>
      <c r="B312" t="s">
        <v>862</v>
      </c>
      <c r="C312" t="s">
        <v>645</v>
      </c>
      <c r="D312" t="s">
        <v>645</v>
      </c>
      <c r="E312" t="s">
        <v>645</v>
      </c>
      <c r="F312" t="s">
        <v>863</v>
      </c>
      <c r="G312" t="s">
        <v>864</v>
      </c>
      <c r="H312" t="s">
        <v>863</v>
      </c>
      <c r="I312" t="s">
        <v>644</v>
      </c>
      <c r="J312" t="s">
        <v>3173</v>
      </c>
      <c r="K312" t="s">
        <v>867</v>
      </c>
      <c r="L312" t="s">
        <v>868</v>
      </c>
      <c r="N312" t="s">
        <v>861</v>
      </c>
      <c r="O312">
        <v>0</v>
      </c>
      <c r="P312" t="s">
        <v>869</v>
      </c>
      <c r="Q312" t="s">
        <v>11</v>
      </c>
      <c r="R312" t="s">
        <v>870</v>
      </c>
      <c r="S312" t="s">
        <v>871</v>
      </c>
      <c r="T312" t="s">
        <v>3169</v>
      </c>
      <c r="U312" t="s">
        <v>3169</v>
      </c>
      <c r="V312" t="s">
        <v>2380</v>
      </c>
      <c r="Y312" t="s">
        <v>874</v>
      </c>
      <c r="Z312" t="s">
        <v>861</v>
      </c>
      <c r="AA312" t="s">
        <v>958</v>
      </c>
      <c r="AB312" t="s">
        <v>3174</v>
      </c>
      <c r="AJ312" t="s">
        <v>861</v>
      </c>
      <c r="AK312" t="s">
        <v>880</v>
      </c>
      <c r="AL312" t="s">
        <v>881</v>
      </c>
      <c r="AM312" t="s">
        <v>882</v>
      </c>
      <c r="AP312" t="s">
        <v>942</v>
      </c>
      <c r="AQ312" t="s">
        <v>1470</v>
      </c>
      <c r="AS312" t="s">
        <v>1470</v>
      </c>
      <c r="AT312" t="s">
        <v>1470</v>
      </c>
      <c r="AU312" t="s">
        <v>886</v>
      </c>
      <c r="AW312" t="s">
        <v>1471</v>
      </c>
      <c r="AX312" t="s">
        <v>2253</v>
      </c>
      <c r="AZ312" t="s">
        <v>1003</v>
      </c>
      <c r="BA312" t="s">
        <v>1233</v>
      </c>
      <c r="BK312" t="s">
        <v>891</v>
      </c>
      <c r="BL312">
        <v>719</v>
      </c>
      <c r="BM312">
        <v>65.400000000000006</v>
      </c>
      <c r="BN312">
        <v>11156.5</v>
      </c>
      <c r="BO312">
        <v>27585.96</v>
      </c>
      <c r="BP312">
        <v>27585.96</v>
      </c>
      <c r="BQ312">
        <v>27585.96</v>
      </c>
      <c r="BR312">
        <v>0</v>
      </c>
      <c r="BS312" t="s">
        <v>892</v>
      </c>
      <c r="BT312">
        <v>2639</v>
      </c>
      <c r="BV312" t="s">
        <v>3171</v>
      </c>
      <c r="BW312" t="s">
        <v>1877</v>
      </c>
      <c r="BX312" t="s">
        <v>895</v>
      </c>
      <c r="BY312" t="s">
        <v>2558</v>
      </c>
      <c r="CD312" t="s">
        <v>3175</v>
      </c>
      <c r="CG312" t="s">
        <v>3173</v>
      </c>
      <c r="CH312" t="s">
        <v>898</v>
      </c>
      <c r="CI312" t="s">
        <v>3176</v>
      </c>
      <c r="CJ312" t="s">
        <v>3176</v>
      </c>
      <c r="CP312" t="s">
        <v>2380</v>
      </c>
      <c r="CT312" t="s">
        <v>901</v>
      </c>
    </row>
    <row r="313" spans="1:98" x14ac:dyDescent="0.15">
      <c r="A313" t="s">
        <v>861</v>
      </c>
      <c r="B313" t="s">
        <v>862</v>
      </c>
      <c r="C313" t="s">
        <v>601</v>
      </c>
      <c r="D313" t="s">
        <v>601</v>
      </c>
      <c r="E313" t="s">
        <v>601</v>
      </c>
      <c r="F313" t="s">
        <v>863</v>
      </c>
      <c r="G313" t="s">
        <v>864</v>
      </c>
      <c r="H313" t="s">
        <v>863</v>
      </c>
      <c r="I313" t="s">
        <v>599</v>
      </c>
      <c r="J313" t="s">
        <v>3177</v>
      </c>
      <c r="K313" t="s">
        <v>867</v>
      </c>
      <c r="L313" t="s">
        <v>868</v>
      </c>
      <c r="N313" t="s">
        <v>861</v>
      </c>
      <c r="O313">
        <v>0</v>
      </c>
      <c r="P313" t="s">
        <v>869</v>
      </c>
      <c r="Q313" t="s">
        <v>11</v>
      </c>
      <c r="R313" t="s">
        <v>870</v>
      </c>
      <c r="S313" t="s">
        <v>871</v>
      </c>
      <c r="T313" t="s">
        <v>3169</v>
      </c>
      <c r="U313" t="s">
        <v>3169</v>
      </c>
      <c r="V313" t="s">
        <v>2216</v>
      </c>
      <c r="Y313" t="s">
        <v>874</v>
      </c>
      <c r="Z313" t="s">
        <v>861</v>
      </c>
      <c r="AA313" t="s">
        <v>958</v>
      </c>
      <c r="AB313" t="s">
        <v>3178</v>
      </c>
      <c r="AJ313" t="s">
        <v>861</v>
      </c>
      <c r="AK313" t="s">
        <v>880</v>
      </c>
      <c r="AL313" t="s">
        <v>881</v>
      </c>
      <c r="AM313" t="s">
        <v>882</v>
      </c>
      <c r="AP313" t="s">
        <v>942</v>
      </c>
      <c r="AQ313" t="s">
        <v>1470</v>
      </c>
      <c r="AS313" t="s">
        <v>1470</v>
      </c>
      <c r="AT313" t="s">
        <v>1470</v>
      </c>
      <c r="AU313" t="s">
        <v>886</v>
      </c>
      <c r="AW313" t="s">
        <v>1471</v>
      </c>
      <c r="AX313" t="s">
        <v>2253</v>
      </c>
      <c r="AZ313" t="s">
        <v>1003</v>
      </c>
      <c r="BA313" t="s">
        <v>1233</v>
      </c>
      <c r="BK313" t="s">
        <v>891</v>
      </c>
      <c r="BL313">
        <v>552</v>
      </c>
      <c r="BM313">
        <v>65.739999999999995</v>
      </c>
      <c r="BN313">
        <v>8736.7000000000007</v>
      </c>
      <c r="BO313">
        <v>35709.379999999997</v>
      </c>
      <c r="BP313">
        <v>35709.379999999997</v>
      </c>
      <c r="BQ313">
        <v>35709.379999999997</v>
      </c>
      <c r="BR313">
        <v>0</v>
      </c>
      <c r="BS313" t="s">
        <v>892</v>
      </c>
      <c r="BT313">
        <v>2639</v>
      </c>
      <c r="BV313" t="s">
        <v>3171</v>
      </c>
      <c r="BW313" t="s">
        <v>1877</v>
      </c>
      <c r="BX313" t="s">
        <v>895</v>
      </c>
      <c r="BY313" t="s">
        <v>2608</v>
      </c>
      <c r="CD313" t="s">
        <v>2609</v>
      </c>
      <c r="CG313" t="s">
        <v>3177</v>
      </c>
      <c r="CH313" t="s">
        <v>898</v>
      </c>
      <c r="CI313" t="s">
        <v>3179</v>
      </c>
      <c r="CJ313" t="s">
        <v>3179</v>
      </c>
      <c r="CP313" t="s">
        <v>2380</v>
      </c>
      <c r="CT313" t="s">
        <v>901</v>
      </c>
    </row>
    <row r="314" spans="1:98" x14ac:dyDescent="0.15">
      <c r="A314" t="s">
        <v>861</v>
      </c>
      <c r="B314" t="s">
        <v>862</v>
      </c>
      <c r="C314" t="s">
        <v>659</v>
      </c>
      <c r="D314" t="s">
        <v>659</v>
      </c>
      <c r="E314" t="s">
        <v>659</v>
      </c>
      <c r="F314" t="s">
        <v>863</v>
      </c>
      <c r="G314" t="s">
        <v>864</v>
      </c>
      <c r="H314" t="s">
        <v>863</v>
      </c>
      <c r="I314" t="s">
        <v>658</v>
      </c>
      <c r="J314" t="s">
        <v>3180</v>
      </c>
      <c r="K314" t="s">
        <v>867</v>
      </c>
      <c r="L314" t="s">
        <v>868</v>
      </c>
      <c r="N314" t="s">
        <v>861</v>
      </c>
      <c r="O314">
        <v>0</v>
      </c>
      <c r="P314" t="s">
        <v>869</v>
      </c>
      <c r="Q314" t="s">
        <v>11</v>
      </c>
      <c r="R314" t="s">
        <v>870</v>
      </c>
      <c r="S314" t="s">
        <v>871</v>
      </c>
      <c r="T314" t="s">
        <v>3169</v>
      </c>
      <c r="U314" t="s">
        <v>3169</v>
      </c>
      <c r="V314" t="s">
        <v>2216</v>
      </c>
      <c r="Y314" t="s">
        <v>874</v>
      </c>
      <c r="Z314" t="s">
        <v>861</v>
      </c>
      <c r="AA314" t="s">
        <v>958</v>
      </c>
      <c r="AB314" t="s">
        <v>3181</v>
      </c>
      <c r="AJ314" t="s">
        <v>861</v>
      </c>
      <c r="AK314" t="s">
        <v>880</v>
      </c>
      <c r="AL314" t="s">
        <v>881</v>
      </c>
      <c r="AM314" t="s">
        <v>882</v>
      </c>
      <c r="AP314" t="s">
        <v>942</v>
      </c>
      <c r="AQ314" t="s">
        <v>1470</v>
      </c>
      <c r="AS314" t="s">
        <v>1470</v>
      </c>
      <c r="AT314" t="s">
        <v>1470</v>
      </c>
      <c r="AU314" t="s">
        <v>886</v>
      </c>
      <c r="AW314" t="s">
        <v>1471</v>
      </c>
      <c r="AX314" t="s">
        <v>2253</v>
      </c>
      <c r="AZ314" t="s">
        <v>1003</v>
      </c>
      <c r="BA314" t="s">
        <v>1233</v>
      </c>
      <c r="BK314" t="s">
        <v>891</v>
      </c>
      <c r="BL314">
        <v>558</v>
      </c>
      <c r="BM314">
        <v>67.86</v>
      </c>
      <c r="BN314">
        <v>16445.400000000001</v>
      </c>
      <c r="BO314">
        <v>27736.06</v>
      </c>
      <c r="BP314">
        <v>27736.06</v>
      </c>
      <c r="BQ314">
        <v>27736.06</v>
      </c>
      <c r="BR314">
        <v>0</v>
      </c>
      <c r="BS314" t="s">
        <v>892</v>
      </c>
      <c r="BT314">
        <v>2639</v>
      </c>
      <c r="BV314" t="s">
        <v>3171</v>
      </c>
      <c r="BW314" t="s">
        <v>1877</v>
      </c>
      <c r="BX314" t="s">
        <v>895</v>
      </c>
      <c r="BY314" t="s">
        <v>2518</v>
      </c>
      <c r="CD314" t="s">
        <v>3182</v>
      </c>
      <c r="CG314" t="s">
        <v>3180</v>
      </c>
      <c r="CH314" t="s">
        <v>898</v>
      </c>
      <c r="CI314" t="s">
        <v>3183</v>
      </c>
      <c r="CJ314" t="s">
        <v>3183</v>
      </c>
      <c r="CP314" t="s">
        <v>2380</v>
      </c>
      <c r="CT314" t="s">
        <v>901</v>
      </c>
    </row>
    <row r="315" spans="1:98" x14ac:dyDescent="0.15">
      <c r="A315" t="s">
        <v>861</v>
      </c>
      <c r="B315" t="s">
        <v>862</v>
      </c>
      <c r="C315" t="s">
        <v>665</v>
      </c>
      <c r="D315" t="s">
        <v>665</v>
      </c>
      <c r="E315" t="s">
        <v>665</v>
      </c>
      <c r="F315" t="s">
        <v>863</v>
      </c>
      <c r="G315" t="s">
        <v>864</v>
      </c>
      <c r="H315" t="s">
        <v>863</v>
      </c>
      <c r="I315" t="s">
        <v>664</v>
      </c>
      <c r="J315" t="s">
        <v>3184</v>
      </c>
      <c r="K315" t="s">
        <v>867</v>
      </c>
      <c r="L315" t="s">
        <v>868</v>
      </c>
      <c r="N315" t="s">
        <v>861</v>
      </c>
      <c r="O315">
        <v>0</v>
      </c>
      <c r="P315" t="s">
        <v>869</v>
      </c>
      <c r="Q315" t="s">
        <v>11</v>
      </c>
      <c r="R315" t="s">
        <v>870</v>
      </c>
      <c r="S315" t="s">
        <v>871</v>
      </c>
      <c r="T315" t="s">
        <v>3169</v>
      </c>
      <c r="U315" t="s">
        <v>3169</v>
      </c>
      <c r="V315" t="s">
        <v>2216</v>
      </c>
      <c r="Y315" t="s">
        <v>910</v>
      </c>
      <c r="Z315" t="s">
        <v>861</v>
      </c>
      <c r="AA315" t="s">
        <v>958</v>
      </c>
      <c r="AB315" t="s">
        <v>3185</v>
      </c>
      <c r="AJ315" t="s">
        <v>861</v>
      </c>
      <c r="AK315" t="s">
        <v>880</v>
      </c>
      <c r="AL315" t="s">
        <v>881</v>
      </c>
      <c r="AM315" t="s">
        <v>882</v>
      </c>
      <c r="AP315" t="s">
        <v>942</v>
      </c>
      <c r="AQ315" t="s">
        <v>1470</v>
      </c>
      <c r="AS315" t="s">
        <v>1470</v>
      </c>
      <c r="AT315" t="s">
        <v>1470</v>
      </c>
      <c r="AU315" t="s">
        <v>886</v>
      </c>
      <c r="AW315" t="s">
        <v>1471</v>
      </c>
      <c r="AX315" t="s">
        <v>2253</v>
      </c>
      <c r="AZ315" t="s">
        <v>1003</v>
      </c>
      <c r="BA315" t="s">
        <v>1233</v>
      </c>
      <c r="BK315" t="s">
        <v>891</v>
      </c>
      <c r="BL315">
        <v>678</v>
      </c>
      <c r="BM315">
        <v>61.99</v>
      </c>
      <c r="BN315">
        <v>6910.9</v>
      </c>
      <c r="BO315">
        <v>11649</v>
      </c>
      <c r="BP315">
        <v>11649</v>
      </c>
      <c r="BQ315">
        <v>11649</v>
      </c>
      <c r="BR315">
        <v>0</v>
      </c>
      <c r="BS315" t="s">
        <v>892</v>
      </c>
      <c r="BT315">
        <v>2639</v>
      </c>
      <c r="BV315" t="s">
        <v>3171</v>
      </c>
      <c r="BW315" t="s">
        <v>1877</v>
      </c>
      <c r="BX315" t="s">
        <v>1530</v>
      </c>
      <c r="BY315" t="s">
        <v>3186</v>
      </c>
      <c r="CD315" t="s">
        <v>3182</v>
      </c>
      <c r="CG315" t="s">
        <v>3184</v>
      </c>
      <c r="CH315" t="s">
        <v>898</v>
      </c>
      <c r="CI315" t="s">
        <v>3187</v>
      </c>
      <c r="CJ315" t="s">
        <v>3187</v>
      </c>
      <c r="CP315" t="s">
        <v>2380</v>
      </c>
      <c r="CT315" t="s">
        <v>901</v>
      </c>
    </row>
    <row r="316" spans="1:98" x14ac:dyDescent="0.15">
      <c r="A316" t="s">
        <v>861</v>
      </c>
      <c r="B316" t="s">
        <v>862</v>
      </c>
      <c r="C316" t="s">
        <v>637</v>
      </c>
      <c r="D316" t="s">
        <v>637</v>
      </c>
      <c r="E316" t="s">
        <v>637</v>
      </c>
      <c r="F316" t="s">
        <v>863</v>
      </c>
      <c r="G316" t="s">
        <v>864</v>
      </c>
      <c r="H316" t="s">
        <v>863</v>
      </c>
      <c r="I316" t="s">
        <v>636</v>
      </c>
      <c r="J316" t="s">
        <v>3188</v>
      </c>
      <c r="K316" t="s">
        <v>867</v>
      </c>
      <c r="L316" t="s">
        <v>868</v>
      </c>
      <c r="N316" t="s">
        <v>1259</v>
      </c>
      <c r="O316">
        <v>0</v>
      </c>
      <c r="P316" t="s">
        <v>869</v>
      </c>
      <c r="Q316" t="s">
        <v>11</v>
      </c>
      <c r="R316" t="s">
        <v>870</v>
      </c>
      <c r="S316" t="s">
        <v>871</v>
      </c>
      <c r="T316" t="s">
        <v>2754</v>
      </c>
      <c r="U316" t="s">
        <v>2754</v>
      </c>
      <c r="V316" t="s">
        <v>1212</v>
      </c>
      <c r="Y316" t="s">
        <v>874</v>
      </c>
      <c r="Z316" t="s">
        <v>861</v>
      </c>
      <c r="AA316" t="s">
        <v>922</v>
      </c>
      <c r="AJ316" t="s">
        <v>861</v>
      </c>
      <c r="AK316" t="s">
        <v>880</v>
      </c>
      <c r="AL316" t="s">
        <v>881</v>
      </c>
      <c r="AM316" t="s">
        <v>882</v>
      </c>
      <c r="AP316" t="s">
        <v>969</v>
      </c>
      <c r="AQ316" t="s">
        <v>2755</v>
      </c>
      <c r="AS316" t="s">
        <v>2755</v>
      </c>
      <c r="AT316" t="s">
        <v>2755</v>
      </c>
      <c r="AU316" t="s">
        <v>886</v>
      </c>
      <c r="AW316" t="s">
        <v>1277</v>
      </c>
      <c r="AX316" t="s">
        <v>2756</v>
      </c>
      <c r="AZ316" t="s">
        <v>1577</v>
      </c>
      <c r="BA316" t="s">
        <v>2836</v>
      </c>
      <c r="BK316" t="s">
        <v>891</v>
      </c>
      <c r="BL316">
        <v>1366</v>
      </c>
      <c r="BM316">
        <v>66.790000000000006</v>
      </c>
      <c r="BN316">
        <v>9873.4</v>
      </c>
      <c r="BO316">
        <v>30569.11</v>
      </c>
      <c r="BP316">
        <v>30569.11</v>
      </c>
      <c r="BQ316">
        <v>30569.11</v>
      </c>
      <c r="BR316">
        <v>0</v>
      </c>
      <c r="BS316" t="s">
        <v>892</v>
      </c>
      <c r="BT316">
        <v>2639</v>
      </c>
      <c r="BV316" t="s">
        <v>3189</v>
      </c>
      <c r="BW316" t="s">
        <v>1020</v>
      </c>
      <c r="BX316" t="s">
        <v>895</v>
      </c>
      <c r="BY316" t="s">
        <v>3186</v>
      </c>
      <c r="CD316" t="s">
        <v>3190</v>
      </c>
      <c r="CG316" t="s">
        <v>3188</v>
      </c>
      <c r="CH316" t="s">
        <v>898</v>
      </c>
      <c r="CI316" t="s">
        <v>3191</v>
      </c>
      <c r="CJ316" t="s">
        <v>3191</v>
      </c>
      <c r="CP316" t="s">
        <v>1292</v>
      </c>
      <c r="CT316" t="s">
        <v>901</v>
      </c>
    </row>
    <row r="317" spans="1:98" x14ac:dyDescent="0.15">
      <c r="A317" t="s">
        <v>861</v>
      </c>
      <c r="B317" t="s">
        <v>862</v>
      </c>
      <c r="C317" t="s">
        <v>631</v>
      </c>
      <c r="D317" t="s">
        <v>631</v>
      </c>
      <c r="E317" t="s">
        <v>631</v>
      </c>
      <c r="F317" t="s">
        <v>863</v>
      </c>
      <c r="G317" t="s">
        <v>864</v>
      </c>
      <c r="H317" t="s">
        <v>863</v>
      </c>
      <c r="I317" t="s">
        <v>630</v>
      </c>
      <c r="J317" t="s">
        <v>3192</v>
      </c>
      <c r="K317" t="s">
        <v>867</v>
      </c>
      <c r="L317" t="s">
        <v>868</v>
      </c>
      <c r="N317" t="s">
        <v>861</v>
      </c>
      <c r="O317">
        <v>0</v>
      </c>
      <c r="P317" t="s">
        <v>869</v>
      </c>
      <c r="Q317" t="s">
        <v>11</v>
      </c>
      <c r="R317" t="s">
        <v>870</v>
      </c>
      <c r="S317" t="s">
        <v>871</v>
      </c>
      <c r="T317" t="s">
        <v>2754</v>
      </c>
      <c r="U317" t="s">
        <v>2754</v>
      </c>
      <c r="V317" t="s">
        <v>1212</v>
      </c>
      <c r="Y317" t="s">
        <v>910</v>
      </c>
      <c r="Z317" t="s">
        <v>861</v>
      </c>
      <c r="AA317" t="s">
        <v>922</v>
      </c>
      <c r="AJ317" t="s">
        <v>861</v>
      </c>
      <c r="AK317" t="s">
        <v>880</v>
      </c>
      <c r="AL317" t="s">
        <v>881</v>
      </c>
      <c r="AM317" t="s">
        <v>882</v>
      </c>
      <c r="AP317" t="s">
        <v>969</v>
      </c>
      <c r="AQ317" t="s">
        <v>2755</v>
      </c>
      <c r="AS317" t="s">
        <v>2755</v>
      </c>
      <c r="AT317" t="s">
        <v>2755</v>
      </c>
      <c r="AU317" t="s">
        <v>886</v>
      </c>
      <c r="AW317" t="s">
        <v>1277</v>
      </c>
      <c r="AX317" t="s">
        <v>2836</v>
      </c>
      <c r="AZ317" t="s">
        <v>1577</v>
      </c>
      <c r="BA317" t="s">
        <v>1278</v>
      </c>
      <c r="BK317" t="s">
        <v>891</v>
      </c>
      <c r="BL317">
        <v>455</v>
      </c>
      <c r="BM317">
        <v>70.72</v>
      </c>
      <c r="BN317">
        <v>5858</v>
      </c>
      <c r="BO317">
        <v>15575.7</v>
      </c>
      <c r="BP317">
        <v>15575.7</v>
      </c>
      <c r="BQ317">
        <v>15575.7</v>
      </c>
      <c r="BR317">
        <v>0</v>
      </c>
      <c r="BS317" t="s">
        <v>892</v>
      </c>
      <c r="BT317">
        <v>2639</v>
      </c>
      <c r="BV317" t="s">
        <v>3189</v>
      </c>
      <c r="BW317" t="s">
        <v>1020</v>
      </c>
      <c r="BX317" t="s">
        <v>895</v>
      </c>
      <c r="BY317" t="s">
        <v>2608</v>
      </c>
      <c r="CD317" t="s">
        <v>3193</v>
      </c>
      <c r="CG317" t="s">
        <v>3192</v>
      </c>
      <c r="CH317" t="s">
        <v>898</v>
      </c>
      <c r="CI317" t="s">
        <v>3194</v>
      </c>
      <c r="CJ317" t="s">
        <v>3194</v>
      </c>
      <c r="CP317" t="s">
        <v>1292</v>
      </c>
      <c r="CT317" t="s">
        <v>901</v>
      </c>
    </row>
    <row r="318" spans="1:98" x14ac:dyDescent="0.15">
      <c r="A318" t="s">
        <v>861</v>
      </c>
      <c r="B318" t="s">
        <v>862</v>
      </c>
      <c r="C318" t="s">
        <v>643</v>
      </c>
      <c r="D318" t="s">
        <v>643</v>
      </c>
      <c r="E318" t="s">
        <v>643</v>
      </c>
      <c r="F318" t="s">
        <v>863</v>
      </c>
      <c r="G318" t="s">
        <v>864</v>
      </c>
      <c r="H318" t="s">
        <v>863</v>
      </c>
      <c r="I318" t="s">
        <v>642</v>
      </c>
      <c r="J318" t="s">
        <v>3195</v>
      </c>
      <c r="K318" t="s">
        <v>867</v>
      </c>
      <c r="L318" t="s">
        <v>868</v>
      </c>
      <c r="N318" t="s">
        <v>861</v>
      </c>
      <c r="O318">
        <v>0</v>
      </c>
      <c r="P318" t="s">
        <v>869</v>
      </c>
      <c r="Q318" t="s">
        <v>11</v>
      </c>
      <c r="R318" t="s">
        <v>870</v>
      </c>
      <c r="S318" t="s">
        <v>871</v>
      </c>
      <c r="T318" t="s">
        <v>2754</v>
      </c>
      <c r="U318" t="s">
        <v>2754</v>
      </c>
      <c r="V318" t="s">
        <v>1212</v>
      </c>
      <c r="Y318" t="s">
        <v>874</v>
      </c>
      <c r="Z318" t="s">
        <v>861</v>
      </c>
      <c r="AA318" t="s">
        <v>922</v>
      </c>
      <c r="AJ318" t="s">
        <v>861</v>
      </c>
      <c r="AK318" t="s">
        <v>880</v>
      </c>
      <c r="AL318" t="s">
        <v>881</v>
      </c>
      <c r="AM318" t="s">
        <v>882</v>
      </c>
      <c r="AP318" t="s">
        <v>969</v>
      </c>
      <c r="AQ318" t="s">
        <v>2755</v>
      </c>
      <c r="AS318" t="s">
        <v>2755</v>
      </c>
      <c r="AT318" t="s">
        <v>2755</v>
      </c>
      <c r="AU318" t="s">
        <v>886</v>
      </c>
      <c r="AW318" t="s">
        <v>1277</v>
      </c>
      <c r="AX318" t="s">
        <v>2836</v>
      </c>
      <c r="AZ318" t="s">
        <v>1577</v>
      </c>
      <c r="BA318" t="s">
        <v>1278</v>
      </c>
      <c r="BK318" t="s">
        <v>891</v>
      </c>
      <c r="BL318">
        <v>489</v>
      </c>
      <c r="BM318">
        <v>66.95</v>
      </c>
      <c r="BN318">
        <v>7618.5</v>
      </c>
      <c r="BO318">
        <v>12372.75</v>
      </c>
      <c r="BP318">
        <v>12372.75</v>
      </c>
      <c r="BQ318">
        <v>12372.75</v>
      </c>
      <c r="BR318">
        <v>0</v>
      </c>
      <c r="BS318" t="s">
        <v>892</v>
      </c>
      <c r="BT318">
        <v>2639</v>
      </c>
      <c r="BV318" t="s">
        <v>3189</v>
      </c>
      <c r="BW318" t="s">
        <v>1020</v>
      </c>
      <c r="BX318" t="s">
        <v>895</v>
      </c>
      <c r="BY318" t="s">
        <v>3186</v>
      </c>
      <c r="CD318" t="s">
        <v>3196</v>
      </c>
      <c r="CG318" t="s">
        <v>3195</v>
      </c>
      <c r="CH318" t="s">
        <v>898</v>
      </c>
      <c r="CI318" t="s">
        <v>3197</v>
      </c>
      <c r="CJ318" t="s">
        <v>3197</v>
      </c>
      <c r="CP318" t="s">
        <v>1292</v>
      </c>
      <c r="CT318" t="s">
        <v>901</v>
      </c>
    </row>
    <row r="319" spans="1:98" x14ac:dyDescent="0.15">
      <c r="A319" t="s">
        <v>861</v>
      </c>
      <c r="B319" t="s">
        <v>862</v>
      </c>
      <c r="C319" t="s">
        <v>639</v>
      </c>
      <c r="D319" t="s">
        <v>639</v>
      </c>
      <c r="E319" t="s">
        <v>639</v>
      </c>
      <c r="F319" t="s">
        <v>863</v>
      </c>
      <c r="G319" t="s">
        <v>864</v>
      </c>
      <c r="H319" t="s">
        <v>863</v>
      </c>
      <c r="I319" t="s">
        <v>638</v>
      </c>
      <c r="J319" t="s">
        <v>3198</v>
      </c>
      <c r="K319" t="s">
        <v>867</v>
      </c>
      <c r="L319" t="s">
        <v>868</v>
      </c>
      <c r="N319" t="s">
        <v>1259</v>
      </c>
      <c r="O319">
        <v>0</v>
      </c>
      <c r="P319" t="s">
        <v>869</v>
      </c>
      <c r="Q319" t="s">
        <v>11</v>
      </c>
      <c r="R319" t="s">
        <v>870</v>
      </c>
      <c r="S319" t="s">
        <v>871</v>
      </c>
      <c r="T319" t="s">
        <v>2754</v>
      </c>
      <c r="U319" t="s">
        <v>2754</v>
      </c>
      <c r="V319" t="s">
        <v>1212</v>
      </c>
      <c r="Y319" t="s">
        <v>874</v>
      </c>
      <c r="Z319" t="s">
        <v>861</v>
      </c>
      <c r="AA319" t="s">
        <v>922</v>
      </c>
      <c r="AJ319" t="s">
        <v>861</v>
      </c>
      <c r="AK319" t="s">
        <v>880</v>
      </c>
      <c r="AL319" t="s">
        <v>881</v>
      </c>
      <c r="AM319" t="s">
        <v>882</v>
      </c>
      <c r="AP319" t="s">
        <v>969</v>
      </c>
      <c r="AQ319" t="s">
        <v>2755</v>
      </c>
      <c r="AS319" t="s">
        <v>2755</v>
      </c>
      <c r="AT319" t="s">
        <v>2755</v>
      </c>
      <c r="AU319" t="s">
        <v>886</v>
      </c>
      <c r="AW319" t="s">
        <v>1277</v>
      </c>
      <c r="AX319" t="s">
        <v>2836</v>
      </c>
      <c r="AZ319" t="s">
        <v>1577</v>
      </c>
      <c r="BA319" t="s">
        <v>1278</v>
      </c>
      <c r="BK319" t="s">
        <v>891</v>
      </c>
      <c r="BL319">
        <v>963</v>
      </c>
      <c r="BM319">
        <v>64.69</v>
      </c>
      <c r="BN319">
        <v>9931.7000000000007</v>
      </c>
      <c r="BO319">
        <v>25017.95</v>
      </c>
      <c r="BP319">
        <v>25017.95</v>
      </c>
      <c r="BQ319">
        <v>25017.95</v>
      </c>
      <c r="BR319">
        <v>0</v>
      </c>
      <c r="BS319" t="s">
        <v>892</v>
      </c>
      <c r="BT319">
        <v>2639</v>
      </c>
      <c r="BV319" t="s">
        <v>3189</v>
      </c>
      <c r="BW319" t="s">
        <v>1020</v>
      </c>
      <c r="BX319" t="s">
        <v>895</v>
      </c>
      <c r="BY319" t="s">
        <v>3199</v>
      </c>
      <c r="CD319" t="s">
        <v>3196</v>
      </c>
      <c r="CG319" t="s">
        <v>3198</v>
      </c>
      <c r="CH319" t="s">
        <v>898</v>
      </c>
      <c r="CI319" t="s">
        <v>3200</v>
      </c>
      <c r="CJ319" t="s">
        <v>3200</v>
      </c>
      <c r="CP319" t="s">
        <v>1292</v>
      </c>
      <c r="CT319" t="s">
        <v>901</v>
      </c>
    </row>
    <row r="320" spans="1:98" x14ac:dyDescent="0.15">
      <c r="A320" t="s">
        <v>861</v>
      </c>
      <c r="B320" t="s">
        <v>862</v>
      </c>
      <c r="C320" t="s">
        <v>633</v>
      </c>
      <c r="D320" t="s">
        <v>633</v>
      </c>
      <c r="E320" t="s">
        <v>633</v>
      </c>
      <c r="F320" t="s">
        <v>863</v>
      </c>
      <c r="G320" t="s">
        <v>864</v>
      </c>
      <c r="H320" t="s">
        <v>863</v>
      </c>
      <c r="I320" t="s">
        <v>632</v>
      </c>
      <c r="J320" t="s">
        <v>3201</v>
      </c>
      <c r="K320" t="s">
        <v>867</v>
      </c>
      <c r="L320" t="s">
        <v>868</v>
      </c>
      <c r="N320" t="s">
        <v>861</v>
      </c>
      <c r="O320">
        <v>0</v>
      </c>
      <c r="P320" t="s">
        <v>869</v>
      </c>
      <c r="Q320" t="s">
        <v>11</v>
      </c>
      <c r="R320" t="s">
        <v>870</v>
      </c>
      <c r="S320" t="s">
        <v>871</v>
      </c>
      <c r="T320" t="s">
        <v>2754</v>
      </c>
      <c r="U320" t="s">
        <v>2754</v>
      </c>
      <c r="V320" t="s">
        <v>1212</v>
      </c>
      <c r="Y320" t="s">
        <v>874</v>
      </c>
      <c r="Z320" t="s">
        <v>861</v>
      </c>
      <c r="AA320" t="s">
        <v>922</v>
      </c>
      <c r="AJ320" t="s">
        <v>861</v>
      </c>
      <c r="AK320" t="s">
        <v>880</v>
      </c>
      <c r="AL320" t="s">
        <v>881</v>
      </c>
      <c r="AM320" t="s">
        <v>882</v>
      </c>
      <c r="AP320" t="s">
        <v>969</v>
      </c>
      <c r="AQ320" t="s">
        <v>2755</v>
      </c>
      <c r="AS320" t="s">
        <v>2755</v>
      </c>
      <c r="AT320" t="s">
        <v>2755</v>
      </c>
      <c r="AU320" t="s">
        <v>886</v>
      </c>
      <c r="AW320" t="s">
        <v>1277</v>
      </c>
      <c r="AX320" t="s">
        <v>2836</v>
      </c>
      <c r="AZ320" t="s">
        <v>1577</v>
      </c>
      <c r="BA320" t="s">
        <v>1278</v>
      </c>
      <c r="BK320" t="s">
        <v>891</v>
      </c>
      <c r="BL320">
        <v>567</v>
      </c>
      <c r="BM320">
        <v>63.84</v>
      </c>
      <c r="BN320">
        <v>6851.5</v>
      </c>
      <c r="BO320">
        <v>18238.400000000001</v>
      </c>
      <c r="BP320">
        <v>18238.400000000001</v>
      </c>
      <c r="BQ320">
        <v>18238.400000000001</v>
      </c>
      <c r="BR320">
        <v>0</v>
      </c>
      <c r="BS320" t="s">
        <v>892</v>
      </c>
      <c r="BT320">
        <v>2639</v>
      </c>
      <c r="BV320" t="s">
        <v>3189</v>
      </c>
      <c r="BW320" t="s">
        <v>1020</v>
      </c>
      <c r="BX320" t="s">
        <v>895</v>
      </c>
      <c r="BY320" t="s">
        <v>3199</v>
      </c>
      <c r="CD320" t="s">
        <v>3202</v>
      </c>
      <c r="CG320" t="s">
        <v>3201</v>
      </c>
      <c r="CH320" t="s">
        <v>898</v>
      </c>
      <c r="CI320" t="s">
        <v>3203</v>
      </c>
      <c r="CJ320" t="s">
        <v>3203</v>
      </c>
      <c r="CP320" t="s">
        <v>1292</v>
      </c>
      <c r="CT320" t="s">
        <v>901</v>
      </c>
    </row>
    <row r="321" spans="1:98" x14ac:dyDescent="0.15">
      <c r="A321" t="s">
        <v>861</v>
      </c>
      <c r="B321" t="s">
        <v>862</v>
      </c>
      <c r="C321" t="s">
        <v>735</v>
      </c>
      <c r="D321" t="s">
        <v>735</v>
      </c>
      <c r="E321" t="s">
        <v>735</v>
      </c>
      <c r="F321" t="s">
        <v>863</v>
      </c>
      <c r="G321" t="s">
        <v>864</v>
      </c>
      <c r="H321" t="s">
        <v>863</v>
      </c>
      <c r="I321" t="s">
        <v>734</v>
      </c>
      <c r="J321" t="s">
        <v>3204</v>
      </c>
      <c r="K321" t="s">
        <v>867</v>
      </c>
      <c r="L321" t="s">
        <v>868</v>
      </c>
      <c r="N321" t="s">
        <v>861</v>
      </c>
      <c r="O321">
        <v>0</v>
      </c>
      <c r="P321" t="s">
        <v>3205</v>
      </c>
      <c r="Q321" t="s">
        <v>11</v>
      </c>
      <c r="R321" t="s">
        <v>919</v>
      </c>
      <c r="S321" t="s">
        <v>871</v>
      </c>
      <c r="T321" t="s">
        <v>3206</v>
      </c>
      <c r="U321" t="s">
        <v>3206</v>
      </c>
      <c r="V321" t="s">
        <v>974</v>
      </c>
      <c r="Y321" t="s">
        <v>910</v>
      </c>
      <c r="Z321" t="s">
        <v>861</v>
      </c>
      <c r="AA321" t="s">
        <v>922</v>
      </c>
      <c r="AD321" t="s">
        <v>960</v>
      </c>
      <c r="AJ321" t="s">
        <v>861</v>
      </c>
      <c r="AK321" t="s">
        <v>880</v>
      </c>
      <c r="AL321" t="s">
        <v>881</v>
      </c>
      <c r="AM321" t="s">
        <v>882</v>
      </c>
      <c r="AP321" t="s">
        <v>1017</v>
      </c>
      <c r="AQ321" t="s">
        <v>3207</v>
      </c>
      <c r="AS321" t="s">
        <v>3207</v>
      </c>
      <c r="AT321" t="s">
        <v>3207</v>
      </c>
      <c r="AU321" t="s">
        <v>886</v>
      </c>
      <c r="AW321" t="s">
        <v>3208</v>
      </c>
      <c r="AX321" t="s">
        <v>930</v>
      </c>
      <c r="AZ321" t="s">
        <v>1451</v>
      </c>
      <c r="BA321" t="s">
        <v>2305</v>
      </c>
      <c r="BK321" t="s">
        <v>891</v>
      </c>
      <c r="BL321">
        <v>750</v>
      </c>
      <c r="BM321">
        <v>66.260000000000005</v>
      </c>
      <c r="BN321">
        <v>9934</v>
      </c>
      <c r="BO321">
        <v>28951.9</v>
      </c>
      <c r="BP321">
        <v>28951.9</v>
      </c>
      <c r="BQ321">
        <v>28951.9</v>
      </c>
      <c r="BR321">
        <v>0</v>
      </c>
      <c r="BS321" t="s">
        <v>892</v>
      </c>
      <c r="BT321">
        <v>2999</v>
      </c>
      <c r="BV321" t="s">
        <v>3209</v>
      </c>
      <c r="BW321" t="s">
        <v>3210</v>
      </c>
      <c r="BX321" t="s">
        <v>895</v>
      </c>
      <c r="BY321" t="s">
        <v>3211</v>
      </c>
      <c r="CD321" t="s">
        <v>3212</v>
      </c>
      <c r="CG321" t="s">
        <v>3204</v>
      </c>
      <c r="CH321" t="s">
        <v>898</v>
      </c>
      <c r="CI321" t="s">
        <v>3213</v>
      </c>
      <c r="CJ321" t="s">
        <v>3213</v>
      </c>
      <c r="CP321" t="s">
        <v>1250</v>
      </c>
      <c r="CT321" t="s">
        <v>901</v>
      </c>
    </row>
    <row r="322" spans="1:98" x14ac:dyDescent="0.15">
      <c r="A322" t="s">
        <v>861</v>
      </c>
      <c r="B322" t="s">
        <v>862</v>
      </c>
      <c r="C322" t="s">
        <v>737</v>
      </c>
      <c r="D322" t="s">
        <v>737</v>
      </c>
      <c r="E322" t="s">
        <v>737</v>
      </c>
      <c r="F322" t="s">
        <v>863</v>
      </c>
      <c r="G322" t="s">
        <v>864</v>
      </c>
      <c r="H322" t="s">
        <v>863</v>
      </c>
      <c r="I322" t="s">
        <v>736</v>
      </c>
      <c r="J322" t="s">
        <v>3214</v>
      </c>
      <c r="K322" t="s">
        <v>867</v>
      </c>
      <c r="L322" t="s">
        <v>868</v>
      </c>
      <c r="N322" t="s">
        <v>861</v>
      </c>
      <c r="O322">
        <v>0</v>
      </c>
      <c r="P322" t="s">
        <v>3205</v>
      </c>
      <c r="Q322" t="s">
        <v>11</v>
      </c>
      <c r="R322" t="s">
        <v>919</v>
      </c>
      <c r="S322" t="s">
        <v>871</v>
      </c>
      <c r="T322" t="s">
        <v>3206</v>
      </c>
      <c r="U322" t="s">
        <v>3206</v>
      </c>
      <c r="V322" t="s">
        <v>974</v>
      </c>
      <c r="Y322" t="s">
        <v>874</v>
      </c>
      <c r="Z322" t="s">
        <v>861</v>
      </c>
      <c r="AA322" t="s">
        <v>922</v>
      </c>
      <c r="AD322" t="s">
        <v>960</v>
      </c>
      <c r="AJ322" t="s">
        <v>861</v>
      </c>
      <c r="AK322" t="s">
        <v>880</v>
      </c>
      <c r="AL322" t="s">
        <v>881</v>
      </c>
      <c r="AM322" t="s">
        <v>882</v>
      </c>
      <c r="AP322" t="s">
        <v>1017</v>
      </c>
      <c r="AQ322" t="s">
        <v>3207</v>
      </c>
      <c r="AS322" t="s">
        <v>3207</v>
      </c>
      <c r="AT322" t="s">
        <v>3207</v>
      </c>
      <c r="AU322" t="s">
        <v>886</v>
      </c>
      <c r="AW322" t="s">
        <v>3208</v>
      </c>
      <c r="AX322" t="s">
        <v>930</v>
      </c>
      <c r="AZ322" t="s">
        <v>1451</v>
      </c>
      <c r="BA322" t="s">
        <v>2305</v>
      </c>
      <c r="BK322" t="s">
        <v>891</v>
      </c>
      <c r="BL322">
        <v>648</v>
      </c>
      <c r="BM322">
        <v>65.12</v>
      </c>
      <c r="BN322">
        <v>9488.5</v>
      </c>
      <c r="BO322">
        <v>24529.119999999999</v>
      </c>
      <c r="BP322">
        <v>24529.119999999999</v>
      </c>
      <c r="BQ322">
        <v>24529.119999999999</v>
      </c>
      <c r="BR322">
        <v>0</v>
      </c>
      <c r="BS322" t="s">
        <v>892</v>
      </c>
      <c r="BT322">
        <v>2999</v>
      </c>
      <c r="BV322" t="s">
        <v>3209</v>
      </c>
      <c r="BW322" t="s">
        <v>3210</v>
      </c>
      <c r="BX322" t="s">
        <v>895</v>
      </c>
      <c r="BY322" t="s">
        <v>1542</v>
      </c>
      <c r="CD322" t="s">
        <v>1543</v>
      </c>
      <c r="CG322" t="s">
        <v>3214</v>
      </c>
      <c r="CH322" t="s">
        <v>898</v>
      </c>
      <c r="CI322" t="s">
        <v>3215</v>
      </c>
      <c r="CJ322" t="s">
        <v>3215</v>
      </c>
      <c r="CP322" t="s">
        <v>1250</v>
      </c>
      <c r="CT322" t="s">
        <v>901</v>
      </c>
    </row>
    <row r="323" spans="1:98" x14ac:dyDescent="0.15">
      <c r="A323" t="s">
        <v>861</v>
      </c>
      <c r="B323" t="s">
        <v>862</v>
      </c>
      <c r="C323" t="s">
        <v>170</v>
      </c>
      <c r="D323" t="s">
        <v>170</v>
      </c>
      <c r="E323" t="s">
        <v>170</v>
      </c>
      <c r="F323" t="s">
        <v>863</v>
      </c>
      <c r="G323" t="s">
        <v>1025</v>
      </c>
      <c r="H323" t="s">
        <v>1026</v>
      </c>
      <c r="I323" t="s">
        <v>169</v>
      </c>
      <c r="J323" t="s">
        <v>3216</v>
      </c>
      <c r="K323" t="s">
        <v>977</v>
      </c>
      <c r="L323" t="s">
        <v>868</v>
      </c>
      <c r="N323" t="s">
        <v>861</v>
      </c>
      <c r="O323">
        <v>0</v>
      </c>
      <c r="P323" t="s">
        <v>869</v>
      </c>
      <c r="Q323" t="s">
        <v>36</v>
      </c>
      <c r="R323" t="s">
        <v>870</v>
      </c>
      <c r="S323" t="s">
        <v>979</v>
      </c>
      <c r="T323" t="s">
        <v>1124</v>
      </c>
      <c r="U323" t="s">
        <v>1124</v>
      </c>
      <c r="V323" t="s">
        <v>1272</v>
      </c>
      <c r="W323" t="s">
        <v>1125</v>
      </c>
      <c r="Y323" t="s">
        <v>874</v>
      </c>
      <c r="Z323" t="s">
        <v>861</v>
      </c>
      <c r="AA323" t="s">
        <v>958</v>
      </c>
      <c r="AB323" t="s">
        <v>3217</v>
      </c>
      <c r="AD323" t="s">
        <v>1484</v>
      </c>
      <c r="AF323" t="s">
        <v>1127</v>
      </c>
      <c r="AG323" t="s">
        <v>1128</v>
      </c>
      <c r="AH323" t="s">
        <v>1129</v>
      </c>
      <c r="AI323" t="s">
        <v>1083</v>
      </c>
      <c r="AJ323" t="s">
        <v>861</v>
      </c>
      <c r="AK323" t="s">
        <v>880</v>
      </c>
      <c r="AL323" t="s">
        <v>913</v>
      </c>
      <c r="AM323" t="s">
        <v>986</v>
      </c>
      <c r="AN323" t="s">
        <v>986</v>
      </c>
      <c r="AO323" t="s">
        <v>3218</v>
      </c>
      <c r="AP323" t="s">
        <v>1083</v>
      </c>
      <c r="AQ323" t="s">
        <v>1131</v>
      </c>
      <c r="AR323" t="s">
        <v>1132</v>
      </c>
      <c r="AS323" t="s">
        <v>1131</v>
      </c>
      <c r="AT323" t="s">
        <v>1131</v>
      </c>
      <c r="AU323" t="s">
        <v>886</v>
      </c>
      <c r="AW323" t="s">
        <v>1131</v>
      </c>
      <c r="AX323" t="s">
        <v>1131</v>
      </c>
      <c r="AZ323" t="s">
        <v>969</v>
      </c>
      <c r="BA323" t="s">
        <v>1133</v>
      </c>
      <c r="BB323" t="s">
        <v>1037</v>
      </c>
      <c r="BK323" t="s">
        <v>1134</v>
      </c>
      <c r="BL323">
        <v>533</v>
      </c>
      <c r="BM323">
        <v>66.12</v>
      </c>
      <c r="BN323">
        <v>9721.5</v>
      </c>
      <c r="BO323">
        <v>23825.97</v>
      </c>
      <c r="BP323">
        <v>23825.97</v>
      </c>
      <c r="BQ323">
        <v>25573.07</v>
      </c>
      <c r="BR323">
        <v>1747.09</v>
      </c>
      <c r="BS323" t="s">
        <v>892</v>
      </c>
      <c r="BT323">
        <v>1744</v>
      </c>
      <c r="BV323" t="s">
        <v>1135</v>
      </c>
      <c r="BW323" t="s">
        <v>1136</v>
      </c>
      <c r="BX323" t="s">
        <v>895</v>
      </c>
      <c r="BY323" t="s">
        <v>3219</v>
      </c>
      <c r="CD323" t="s">
        <v>3220</v>
      </c>
      <c r="CG323" t="s">
        <v>3221</v>
      </c>
      <c r="CH323" t="s">
        <v>994</v>
      </c>
      <c r="CI323" t="s">
        <v>3221</v>
      </c>
      <c r="CJ323" t="s">
        <v>3221</v>
      </c>
      <c r="CM323" t="s">
        <v>1044</v>
      </c>
      <c r="CN323" t="s">
        <v>1045</v>
      </c>
      <c r="CO323" t="s">
        <v>3222</v>
      </c>
      <c r="CP323" t="s">
        <v>1272</v>
      </c>
      <c r="CT323" t="s">
        <v>901</v>
      </c>
    </row>
    <row r="324" spans="1:98" x14ac:dyDescent="0.15">
      <c r="A324" t="s">
        <v>861</v>
      </c>
      <c r="B324" t="s">
        <v>862</v>
      </c>
      <c r="C324" t="s">
        <v>342</v>
      </c>
      <c r="D324" t="s">
        <v>342</v>
      </c>
      <c r="E324" t="s">
        <v>342</v>
      </c>
      <c r="F324" t="s">
        <v>863</v>
      </c>
      <c r="G324" t="s">
        <v>1025</v>
      </c>
      <c r="H324" t="s">
        <v>1026</v>
      </c>
      <c r="I324" t="s">
        <v>340</v>
      </c>
      <c r="J324" t="s">
        <v>3223</v>
      </c>
      <c r="K324" t="s">
        <v>977</v>
      </c>
      <c r="L324" t="s">
        <v>868</v>
      </c>
      <c r="N324" t="s">
        <v>861</v>
      </c>
      <c r="O324">
        <v>0</v>
      </c>
      <c r="P324" t="s">
        <v>869</v>
      </c>
      <c r="Q324" t="s">
        <v>36</v>
      </c>
      <c r="R324" t="s">
        <v>870</v>
      </c>
      <c r="S324" t="s">
        <v>979</v>
      </c>
      <c r="T324" t="s">
        <v>2171</v>
      </c>
      <c r="U324" t="s">
        <v>2171</v>
      </c>
      <c r="V324" t="s">
        <v>1272</v>
      </c>
      <c r="W324" t="s">
        <v>1125</v>
      </c>
      <c r="Y324" t="s">
        <v>874</v>
      </c>
      <c r="Z324" t="s">
        <v>861</v>
      </c>
      <c r="AA324" t="s">
        <v>958</v>
      </c>
      <c r="AB324" t="s">
        <v>3224</v>
      </c>
      <c r="AF324" t="s">
        <v>1127</v>
      </c>
      <c r="AG324" t="s">
        <v>995</v>
      </c>
      <c r="AH324" t="s">
        <v>1129</v>
      </c>
      <c r="AI324" t="s">
        <v>1248</v>
      </c>
      <c r="AJ324" t="s">
        <v>861</v>
      </c>
      <c r="AK324" t="s">
        <v>880</v>
      </c>
      <c r="AL324" t="s">
        <v>913</v>
      </c>
      <c r="AM324" t="s">
        <v>986</v>
      </c>
      <c r="AN324" t="s">
        <v>986</v>
      </c>
      <c r="AO324" t="s">
        <v>3225</v>
      </c>
      <c r="AP324" t="s">
        <v>1248</v>
      </c>
      <c r="AQ324" t="s">
        <v>995</v>
      </c>
      <c r="AR324" t="s">
        <v>1128</v>
      </c>
      <c r="AS324" t="s">
        <v>995</v>
      </c>
      <c r="AT324" t="s">
        <v>995</v>
      </c>
      <c r="AU324" t="s">
        <v>886</v>
      </c>
      <c r="AW324" t="s">
        <v>995</v>
      </c>
      <c r="AX324" t="s">
        <v>995</v>
      </c>
      <c r="AZ324" t="s">
        <v>968</v>
      </c>
      <c r="BA324" t="s">
        <v>1250</v>
      </c>
      <c r="BB324" t="s">
        <v>1132</v>
      </c>
      <c r="BK324" t="s">
        <v>1134</v>
      </c>
      <c r="BL324">
        <v>1037</v>
      </c>
      <c r="BM324">
        <v>65.42</v>
      </c>
      <c r="BN324">
        <v>7960</v>
      </c>
      <c r="BO324">
        <v>18419.59</v>
      </c>
      <c r="BP324">
        <v>18419.59</v>
      </c>
      <c r="BQ324">
        <v>20166.04</v>
      </c>
      <c r="BR324">
        <v>1746.44</v>
      </c>
      <c r="BS324" t="s">
        <v>892</v>
      </c>
      <c r="BT324">
        <v>1744</v>
      </c>
      <c r="BV324" t="s">
        <v>1135</v>
      </c>
      <c r="BW324" t="s">
        <v>1136</v>
      </c>
      <c r="BX324" t="s">
        <v>895</v>
      </c>
      <c r="BY324" t="s">
        <v>3219</v>
      </c>
      <c r="CD324" t="s">
        <v>3220</v>
      </c>
      <c r="CG324" t="s">
        <v>3226</v>
      </c>
      <c r="CH324" t="s">
        <v>994</v>
      </c>
      <c r="CI324" t="s">
        <v>3226</v>
      </c>
      <c r="CJ324" t="s">
        <v>3226</v>
      </c>
      <c r="CM324" t="s">
        <v>1044</v>
      </c>
      <c r="CN324" t="s">
        <v>1045</v>
      </c>
      <c r="CO324" t="s">
        <v>3227</v>
      </c>
      <c r="CP324" t="s">
        <v>1272</v>
      </c>
      <c r="CT324" t="s">
        <v>901</v>
      </c>
    </row>
    <row r="325" spans="1:98" x14ac:dyDescent="0.15">
      <c r="A325" t="s">
        <v>861</v>
      </c>
      <c r="B325" t="s">
        <v>862</v>
      </c>
      <c r="C325" t="s">
        <v>465</v>
      </c>
      <c r="D325" t="s">
        <v>465</v>
      </c>
      <c r="E325" t="s">
        <v>465</v>
      </c>
      <c r="F325" t="s">
        <v>863</v>
      </c>
      <c r="G325" t="s">
        <v>1025</v>
      </c>
      <c r="H325" t="s">
        <v>1026</v>
      </c>
      <c r="I325" t="s">
        <v>464</v>
      </c>
      <c r="J325" t="s">
        <v>3228</v>
      </c>
      <c r="K325" t="s">
        <v>977</v>
      </c>
      <c r="L325" t="s">
        <v>868</v>
      </c>
      <c r="N325" t="s">
        <v>1259</v>
      </c>
      <c r="O325">
        <v>0</v>
      </c>
      <c r="P325" t="s">
        <v>869</v>
      </c>
      <c r="Q325" t="s">
        <v>36</v>
      </c>
      <c r="R325" t="s">
        <v>870</v>
      </c>
      <c r="S325" t="s">
        <v>979</v>
      </c>
      <c r="T325" t="s">
        <v>2171</v>
      </c>
      <c r="U325" t="s">
        <v>2171</v>
      </c>
      <c r="V325" t="s">
        <v>1272</v>
      </c>
      <c r="W325" t="s">
        <v>1125</v>
      </c>
      <c r="Y325" t="s">
        <v>874</v>
      </c>
      <c r="Z325" t="s">
        <v>861</v>
      </c>
      <c r="AA325" t="s">
        <v>958</v>
      </c>
      <c r="AB325" t="s">
        <v>3229</v>
      </c>
      <c r="AF325" t="s">
        <v>1127</v>
      </c>
      <c r="AG325" t="s">
        <v>995</v>
      </c>
      <c r="AH325" t="s">
        <v>1129</v>
      </c>
      <c r="AI325" t="s">
        <v>1248</v>
      </c>
      <c r="AJ325" t="s">
        <v>861</v>
      </c>
      <c r="AK325" t="s">
        <v>880</v>
      </c>
      <c r="AL325" t="s">
        <v>913</v>
      </c>
      <c r="AM325" t="s">
        <v>986</v>
      </c>
      <c r="AN325" t="s">
        <v>986</v>
      </c>
      <c r="AO325" t="s">
        <v>3230</v>
      </c>
      <c r="AP325" t="s">
        <v>1248</v>
      </c>
      <c r="AQ325" t="s">
        <v>995</v>
      </c>
      <c r="AR325" t="s">
        <v>1128</v>
      </c>
      <c r="AS325" t="s">
        <v>995</v>
      </c>
      <c r="AT325" t="s">
        <v>995</v>
      </c>
      <c r="AU325" t="s">
        <v>886</v>
      </c>
      <c r="AW325" t="s">
        <v>995</v>
      </c>
      <c r="AX325" t="s">
        <v>995</v>
      </c>
      <c r="AZ325" t="s">
        <v>968</v>
      </c>
      <c r="BA325" t="s">
        <v>1250</v>
      </c>
      <c r="BB325" t="s">
        <v>1133</v>
      </c>
      <c r="BK325" t="s">
        <v>1134</v>
      </c>
      <c r="BL325">
        <v>254</v>
      </c>
      <c r="BM325">
        <v>59.97</v>
      </c>
      <c r="BN325">
        <v>6558.6</v>
      </c>
      <c r="BO325">
        <v>17364.28</v>
      </c>
      <c r="BP325">
        <v>17364.28</v>
      </c>
      <c r="BQ325">
        <v>19110.580000000002</v>
      </c>
      <c r="BR325">
        <v>1746.31</v>
      </c>
      <c r="BS325" t="s">
        <v>892</v>
      </c>
      <c r="BT325">
        <v>1744</v>
      </c>
      <c r="BV325" t="s">
        <v>1135</v>
      </c>
      <c r="BW325" t="s">
        <v>1136</v>
      </c>
      <c r="BX325" t="s">
        <v>895</v>
      </c>
      <c r="BY325" t="s">
        <v>3219</v>
      </c>
      <c r="CD325" t="s">
        <v>3231</v>
      </c>
      <c r="CG325" t="s">
        <v>3232</v>
      </c>
      <c r="CH325" t="s">
        <v>994</v>
      </c>
      <c r="CI325" t="s">
        <v>3232</v>
      </c>
      <c r="CJ325" t="s">
        <v>3232</v>
      </c>
      <c r="CM325" t="s">
        <v>1044</v>
      </c>
      <c r="CN325" t="s">
        <v>1045</v>
      </c>
      <c r="CO325" t="s">
        <v>3233</v>
      </c>
      <c r="CP325" t="s">
        <v>1272</v>
      </c>
      <c r="CT325" t="s">
        <v>901</v>
      </c>
    </row>
    <row r="326" spans="1:98" x14ac:dyDescent="0.15">
      <c r="A326" t="s">
        <v>861</v>
      </c>
      <c r="B326" t="s">
        <v>862</v>
      </c>
      <c r="C326" t="s">
        <v>176</v>
      </c>
      <c r="D326" t="s">
        <v>176</v>
      </c>
      <c r="E326" t="s">
        <v>176</v>
      </c>
      <c r="F326" t="s">
        <v>863</v>
      </c>
      <c r="G326" t="s">
        <v>1025</v>
      </c>
      <c r="H326" t="s">
        <v>1026</v>
      </c>
      <c r="I326" t="s">
        <v>175</v>
      </c>
      <c r="J326" t="s">
        <v>3234</v>
      </c>
      <c r="K326" t="s">
        <v>977</v>
      </c>
      <c r="L326" t="s">
        <v>868</v>
      </c>
      <c r="N326" t="s">
        <v>1259</v>
      </c>
      <c r="O326">
        <v>0</v>
      </c>
      <c r="P326" t="s">
        <v>869</v>
      </c>
      <c r="Q326" t="s">
        <v>36</v>
      </c>
      <c r="R326" t="s">
        <v>870</v>
      </c>
      <c r="S326" t="s">
        <v>979</v>
      </c>
      <c r="T326" t="s">
        <v>1124</v>
      </c>
      <c r="U326" t="s">
        <v>1124</v>
      </c>
      <c r="V326" t="s">
        <v>1272</v>
      </c>
      <c r="W326" t="s">
        <v>1125</v>
      </c>
      <c r="Y326" t="s">
        <v>874</v>
      </c>
      <c r="Z326" t="s">
        <v>861</v>
      </c>
      <c r="AA326" t="s">
        <v>958</v>
      </c>
      <c r="AB326" t="s">
        <v>3235</v>
      </c>
      <c r="AF326" t="s">
        <v>1127</v>
      </c>
      <c r="AG326" t="s">
        <v>995</v>
      </c>
      <c r="AH326" t="s">
        <v>1129</v>
      </c>
      <c r="AI326" t="s">
        <v>1500</v>
      </c>
      <c r="AJ326" t="s">
        <v>861</v>
      </c>
      <c r="AK326" t="s">
        <v>880</v>
      </c>
      <c r="AL326" t="s">
        <v>913</v>
      </c>
      <c r="AM326" t="s">
        <v>986</v>
      </c>
      <c r="AN326" t="s">
        <v>986</v>
      </c>
      <c r="AO326" t="s">
        <v>3236</v>
      </c>
      <c r="AP326" t="s">
        <v>1500</v>
      </c>
      <c r="AQ326" t="s">
        <v>1131</v>
      </c>
      <c r="AR326" t="s">
        <v>1133</v>
      </c>
      <c r="AS326" t="s">
        <v>1131</v>
      </c>
      <c r="AT326" t="s">
        <v>1131</v>
      </c>
      <c r="AU326" t="s">
        <v>886</v>
      </c>
      <c r="AW326" t="s">
        <v>1131</v>
      </c>
      <c r="AX326" t="s">
        <v>1131</v>
      </c>
      <c r="AZ326" t="s">
        <v>965</v>
      </c>
      <c r="BA326" t="s">
        <v>1133</v>
      </c>
      <c r="BB326" t="s">
        <v>1132</v>
      </c>
      <c r="BK326" t="s">
        <v>1134</v>
      </c>
      <c r="BL326">
        <v>975</v>
      </c>
      <c r="BM326">
        <v>68.73</v>
      </c>
      <c r="BN326">
        <v>14290</v>
      </c>
      <c r="BO326">
        <v>34197.949999999997</v>
      </c>
      <c r="BP326">
        <v>34197.949999999997</v>
      </c>
      <c r="BQ326">
        <v>35946.300000000003</v>
      </c>
      <c r="BR326">
        <v>1748.35</v>
      </c>
      <c r="BS326" t="s">
        <v>892</v>
      </c>
      <c r="BT326">
        <v>1744</v>
      </c>
      <c r="BV326" t="s">
        <v>1135</v>
      </c>
      <c r="BW326" t="s">
        <v>1136</v>
      </c>
      <c r="BX326" t="s">
        <v>895</v>
      </c>
      <c r="BY326" t="s">
        <v>3237</v>
      </c>
      <c r="CD326" t="s">
        <v>3231</v>
      </c>
      <c r="CG326" t="s">
        <v>3238</v>
      </c>
      <c r="CH326" t="s">
        <v>994</v>
      </c>
      <c r="CI326" t="s">
        <v>3238</v>
      </c>
      <c r="CJ326" t="s">
        <v>3238</v>
      </c>
      <c r="CM326" t="s">
        <v>1044</v>
      </c>
      <c r="CN326" t="s">
        <v>1045</v>
      </c>
      <c r="CO326" t="s">
        <v>3239</v>
      </c>
      <c r="CP326" t="s">
        <v>1272</v>
      </c>
      <c r="CT326" t="s">
        <v>901</v>
      </c>
    </row>
    <row r="327" spans="1:98" x14ac:dyDescent="0.15">
      <c r="A327" t="s">
        <v>861</v>
      </c>
      <c r="B327" t="s">
        <v>862</v>
      </c>
      <c r="C327" t="s">
        <v>471</v>
      </c>
      <c r="D327" t="s">
        <v>471</v>
      </c>
      <c r="E327" t="s">
        <v>471</v>
      </c>
      <c r="F327" t="s">
        <v>863</v>
      </c>
      <c r="G327" t="s">
        <v>1025</v>
      </c>
      <c r="H327" t="s">
        <v>1026</v>
      </c>
      <c r="I327" t="s">
        <v>470</v>
      </c>
      <c r="J327" t="s">
        <v>3240</v>
      </c>
      <c r="K327" t="s">
        <v>977</v>
      </c>
      <c r="L327" t="s">
        <v>868</v>
      </c>
      <c r="N327" t="s">
        <v>861</v>
      </c>
      <c r="O327">
        <v>0</v>
      </c>
      <c r="P327" t="s">
        <v>869</v>
      </c>
      <c r="Q327" t="s">
        <v>36</v>
      </c>
      <c r="R327" t="s">
        <v>870</v>
      </c>
      <c r="S327" t="s">
        <v>979</v>
      </c>
      <c r="T327" t="s">
        <v>1124</v>
      </c>
      <c r="U327" t="s">
        <v>1124</v>
      </c>
      <c r="V327" t="s">
        <v>1272</v>
      </c>
      <c r="W327" t="s">
        <v>1125</v>
      </c>
      <c r="Y327" t="s">
        <v>874</v>
      </c>
      <c r="Z327" t="s">
        <v>861</v>
      </c>
      <c r="AA327" t="s">
        <v>958</v>
      </c>
      <c r="AB327" t="s">
        <v>3235</v>
      </c>
      <c r="AD327" t="s">
        <v>2210</v>
      </c>
      <c r="AF327" t="s">
        <v>1127</v>
      </c>
      <c r="AG327" t="s">
        <v>995</v>
      </c>
      <c r="AH327" t="s">
        <v>1129</v>
      </c>
      <c r="AI327" t="s">
        <v>1500</v>
      </c>
      <c r="AJ327" t="s">
        <v>861</v>
      </c>
      <c r="AK327" t="s">
        <v>880</v>
      </c>
      <c r="AL327" t="s">
        <v>913</v>
      </c>
      <c r="AM327" t="s">
        <v>986</v>
      </c>
      <c r="AN327" t="s">
        <v>986</v>
      </c>
      <c r="AO327" t="s">
        <v>3241</v>
      </c>
      <c r="AP327" t="s">
        <v>1500</v>
      </c>
      <c r="AQ327" t="s">
        <v>1131</v>
      </c>
      <c r="AR327" t="s">
        <v>1133</v>
      </c>
      <c r="AS327" t="s">
        <v>1131</v>
      </c>
      <c r="AT327" t="s">
        <v>1131</v>
      </c>
      <c r="AU327" t="s">
        <v>886</v>
      </c>
      <c r="AW327" t="s">
        <v>1131</v>
      </c>
      <c r="AX327" t="s">
        <v>1131</v>
      </c>
      <c r="AZ327" t="s">
        <v>965</v>
      </c>
      <c r="BA327" t="s">
        <v>1133</v>
      </c>
      <c r="BB327" t="s">
        <v>1132</v>
      </c>
      <c r="BK327" t="s">
        <v>1134</v>
      </c>
      <c r="BL327">
        <v>1337</v>
      </c>
      <c r="BM327">
        <v>65.83</v>
      </c>
      <c r="BN327">
        <v>9961</v>
      </c>
      <c r="BO327">
        <v>22312.63</v>
      </c>
      <c r="BP327">
        <v>22312.63</v>
      </c>
      <c r="BQ327">
        <v>24059.55</v>
      </c>
      <c r="BR327">
        <v>1746.91</v>
      </c>
      <c r="BS327" t="s">
        <v>892</v>
      </c>
      <c r="BT327">
        <v>1744</v>
      </c>
      <c r="BV327" t="s">
        <v>1135</v>
      </c>
      <c r="BW327" t="s">
        <v>1136</v>
      </c>
      <c r="BX327" t="s">
        <v>895</v>
      </c>
      <c r="BY327" t="s">
        <v>3237</v>
      </c>
      <c r="CD327" t="s">
        <v>3242</v>
      </c>
      <c r="CG327" t="s">
        <v>3243</v>
      </c>
      <c r="CH327" t="s">
        <v>994</v>
      </c>
      <c r="CI327" t="s">
        <v>3243</v>
      </c>
      <c r="CJ327" t="s">
        <v>3243</v>
      </c>
      <c r="CM327" t="s">
        <v>1044</v>
      </c>
      <c r="CN327" t="s">
        <v>1045</v>
      </c>
      <c r="CO327" t="s">
        <v>3244</v>
      </c>
      <c r="CP327" t="s">
        <v>1272</v>
      </c>
      <c r="CT327" t="s">
        <v>901</v>
      </c>
    </row>
    <row r="328" spans="1:98" x14ac:dyDescent="0.15">
      <c r="A328" t="s">
        <v>861</v>
      </c>
      <c r="B328" t="s">
        <v>862</v>
      </c>
      <c r="C328" t="s">
        <v>467</v>
      </c>
      <c r="D328" t="s">
        <v>467</v>
      </c>
      <c r="E328" t="s">
        <v>467</v>
      </c>
      <c r="F328" t="s">
        <v>863</v>
      </c>
      <c r="G328" t="s">
        <v>1025</v>
      </c>
      <c r="H328" t="s">
        <v>1026</v>
      </c>
      <c r="I328" t="s">
        <v>466</v>
      </c>
      <c r="J328" t="s">
        <v>3245</v>
      </c>
      <c r="K328" t="s">
        <v>977</v>
      </c>
      <c r="L328" t="s">
        <v>868</v>
      </c>
      <c r="N328" t="s">
        <v>861</v>
      </c>
      <c r="O328">
        <v>0</v>
      </c>
      <c r="P328" t="s">
        <v>869</v>
      </c>
      <c r="Q328" t="s">
        <v>36</v>
      </c>
      <c r="R328" t="s">
        <v>870</v>
      </c>
      <c r="S328" t="s">
        <v>979</v>
      </c>
      <c r="T328" t="s">
        <v>2171</v>
      </c>
      <c r="U328" t="s">
        <v>2171</v>
      </c>
      <c r="V328" t="s">
        <v>1272</v>
      </c>
      <c r="W328" t="s">
        <v>1125</v>
      </c>
      <c r="Y328" t="s">
        <v>874</v>
      </c>
      <c r="Z328" t="s">
        <v>861</v>
      </c>
      <c r="AA328" t="s">
        <v>958</v>
      </c>
      <c r="AB328" t="s">
        <v>3246</v>
      </c>
      <c r="AF328" t="s">
        <v>1127</v>
      </c>
      <c r="AG328" t="s">
        <v>995</v>
      </c>
      <c r="AH328" t="s">
        <v>1129</v>
      </c>
      <c r="AI328" t="s">
        <v>1248</v>
      </c>
      <c r="AJ328" t="s">
        <v>861</v>
      </c>
      <c r="AK328" t="s">
        <v>880</v>
      </c>
      <c r="AL328" t="s">
        <v>913</v>
      </c>
      <c r="AM328" t="s">
        <v>986</v>
      </c>
      <c r="AN328" t="s">
        <v>986</v>
      </c>
      <c r="AO328" t="s">
        <v>3247</v>
      </c>
      <c r="AP328" t="s">
        <v>1248</v>
      </c>
      <c r="AQ328" t="s">
        <v>995</v>
      </c>
      <c r="AR328" t="s">
        <v>1128</v>
      </c>
      <c r="AS328" t="s">
        <v>995</v>
      </c>
      <c r="AT328" t="s">
        <v>995</v>
      </c>
      <c r="AU328" t="s">
        <v>886</v>
      </c>
      <c r="AW328" t="s">
        <v>995</v>
      </c>
      <c r="AX328" t="s">
        <v>995</v>
      </c>
      <c r="AZ328" t="s">
        <v>968</v>
      </c>
      <c r="BA328" t="s">
        <v>1250</v>
      </c>
      <c r="BB328" t="s">
        <v>1133</v>
      </c>
      <c r="BK328" t="s">
        <v>1134</v>
      </c>
      <c r="BL328">
        <v>892</v>
      </c>
      <c r="BM328">
        <v>67.59</v>
      </c>
      <c r="BN328">
        <v>7138.4</v>
      </c>
      <c r="BO328">
        <v>20547.5</v>
      </c>
      <c r="BP328">
        <v>20547.5</v>
      </c>
      <c r="BQ328">
        <v>22294.21</v>
      </c>
      <c r="BR328">
        <v>1746.7</v>
      </c>
      <c r="BS328" t="s">
        <v>892</v>
      </c>
      <c r="BT328">
        <v>1744</v>
      </c>
      <c r="BV328" t="s">
        <v>1135</v>
      </c>
      <c r="BW328" t="s">
        <v>1136</v>
      </c>
      <c r="BX328" t="s">
        <v>895</v>
      </c>
      <c r="BY328" t="s">
        <v>3237</v>
      </c>
      <c r="CD328" t="s">
        <v>3242</v>
      </c>
      <c r="CG328" t="s">
        <v>3248</v>
      </c>
      <c r="CH328" t="s">
        <v>994</v>
      </c>
      <c r="CI328" t="s">
        <v>3248</v>
      </c>
      <c r="CJ328" t="s">
        <v>3248</v>
      </c>
      <c r="CM328" t="s">
        <v>1044</v>
      </c>
      <c r="CN328" t="s">
        <v>1045</v>
      </c>
      <c r="CO328" t="s">
        <v>3249</v>
      </c>
      <c r="CP328" t="s">
        <v>1272</v>
      </c>
      <c r="CT328" t="s">
        <v>901</v>
      </c>
    </row>
    <row r="329" spans="1:98" x14ac:dyDescent="0.15">
      <c r="A329" t="s">
        <v>861</v>
      </c>
      <c r="B329" t="s">
        <v>862</v>
      </c>
      <c r="C329" t="s">
        <v>339</v>
      </c>
      <c r="D329" t="s">
        <v>339</v>
      </c>
      <c r="E329" t="s">
        <v>339</v>
      </c>
      <c r="F329" t="s">
        <v>863</v>
      </c>
      <c r="G329" t="s">
        <v>1025</v>
      </c>
      <c r="H329" t="s">
        <v>1026</v>
      </c>
      <c r="I329" t="s">
        <v>338</v>
      </c>
      <c r="J329" t="s">
        <v>3250</v>
      </c>
      <c r="K329" t="s">
        <v>977</v>
      </c>
      <c r="L329" t="s">
        <v>868</v>
      </c>
      <c r="N329" t="s">
        <v>861</v>
      </c>
      <c r="O329">
        <v>0</v>
      </c>
      <c r="P329" t="s">
        <v>869</v>
      </c>
      <c r="Q329" t="s">
        <v>19</v>
      </c>
      <c r="R329" t="s">
        <v>870</v>
      </c>
      <c r="S329" t="s">
        <v>979</v>
      </c>
      <c r="T329" t="s">
        <v>3099</v>
      </c>
      <c r="U329" t="s">
        <v>3099</v>
      </c>
      <c r="V329" t="s">
        <v>974</v>
      </c>
      <c r="W329" t="s">
        <v>1079</v>
      </c>
      <c r="Y329" t="s">
        <v>874</v>
      </c>
      <c r="Z329" t="s">
        <v>861</v>
      </c>
      <c r="AA329" t="s">
        <v>958</v>
      </c>
      <c r="AB329" t="s">
        <v>3251</v>
      </c>
      <c r="AD329" t="s">
        <v>3101</v>
      </c>
      <c r="AF329" t="s">
        <v>3102</v>
      </c>
      <c r="AG329" t="s">
        <v>1457</v>
      </c>
      <c r="AH329" t="s">
        <v>3103</v>
      </c>
      <c r="AJ329" t="s">
        <v>861</v>
      </c>
      <c r="AK329" t="s">
        <v>880</v>
      </c>
      <c r="AL329" t="s">
        <v>913</v>
      </c>
      <c r="AM329" t="s">
        <v>986</v>
      </c>
      <c r="AN329" t="s">
        <v>986</v>
      </c>
      <c r="AO329" t="s">
        <v>1861</v>
      </c>
      <c r="AP329" t="s">
        <v>1101</v>
      </c>
      <c r="AQ329" t="s">
        <v>1131</v>
      </c>
      <c r="AR329" t="s">
        <v>1028</v>
      </c>
      <c r="AS329" t="s">
        <v>1131</v>
      </c>
      <c r="AT329" t="s">
        <v>1131</v>
      </c>
      <c r="AU329" t="s">
        <v>886</v>
      </c>
      <c r="AW329" t="s">
        <v>1131</v>
      </c>
      <c r="AX329" t="s">
        <v>1131</v>
      </c>
      <c r="AZ329" t="s">
        <v>889</v>
      </c>
      <c r="BA329" t="s">
        <v>1133</v>
      </c>
      <c r="BB329" t="s">
        <v>1037</v>
      </c>
      <c r="BK329" t="s">
        <v>1134</v>
      </c>
      <c r="BL329">
        <v>470</v>
      </c>
      <c r="BM329">
        <v>65.78</v>
      </c>
      <c r="BN329">
        <v>9575.7000000000007</v>
      </c>
      <c r="BO329">
        <v>23613.68</v>
      </c>
      <c r="BP329">
        <v>23613.68</v>
      </c>
      <c r="BQ329">
        <v>25360.76</v>
      </c>
      <c r="BR329">
        <v>1747.07</v>
      </c>
      <c r="BS329" t="s">
        <v>892</v>
      </c>
      <c r="BT329">
        <v>1744</v>
      </c>
      <c r="BV329" t="s">
        <v>3105</v>
      </c>
      <c r="BW329" t="s">
        <v>3106</v>
      </c>
      <c r="BX329" t="s">
        <v>1007</v>
      </c>
      <c r="BY329" t="s">
        <v>3022</v>
      </c>
      <c r="CD329" t="s">
        <v>3023</v>
      </c>
      <c r="CG329" t="s">
        <v>3252</v>
      </c>
      <c r="CH329" t="s">
        <v>994</v>
      </c>
      <c r="CI329" t="s">
        <v>3252</v>
      </c>
      <c r="CJ329" t="s">
        <v>3252</v>
      </c>
      <c r="CM329" t="s">
        <v>1044</v>
      </c>
      <c r="CN329" t="s">
        <v>1045</v>
      </c>
      <c r="CO329" t="s">
        <v>3253</v>
      </c>
      <c r="CP329" t="s">
        <v>921</v>
      </c>
      <c r="CT329" t="s">
        <v>901</v>
      </c>
    </row>
    <row r="330" spans="1:98" x14ac:dyDescent="0.15">
      <c r="A330" t="s">
        <v>861</v>
      </c>
      <c r="B330" t="s">
        <v>862</v>
      </c>
      <c r="C330" t="s">
        <v>168</v>
      </c>
      <c r="D330" t="s">
        <v>168</v>
      </c>
      <c r="E330" t="s">
        <v>168</v>
      </c>
      <c r="F330" t="s">
        <v>863</v>
      </c>
      <c r="G330" t="s">
        <v>1025</v>
      </c>
      <c r="H330" t="s">
        <v>1026</v>
      </c>
      <c r="I330" t="s">
        <v>167</v>
      </c>
      <c r="J330" t="s">
        <v>3254</v>
      </c>
      <c r="K330" t="s">
        <v>977</v>
      </c>
      <c r="L330" t="s">
        <v>868</v>
      </c>
      <c r="N330" t="s">
        <v>1259</v>
      </c>
      <c r="O330">
        <v>0</v>
      </c>
      <c r="P330" t="s">
        <v>869</v>
      </c>
      <c r="Q330" t="s">
        <v>19</v>
      </c>
      <c r="R330" t="s">
        <v>870</v>
      </c>
      <c r="S330" t="s">
        <v>979</v>
      </c>
      <c r="T330" t="s">
        <v>3099</v>
      </c>
      <c r="U330" t="s">
        <v>3099</v>
      </c>
      <c r="V330" t="s">
        <v>974</v>
      </c>
      <c r="W330" t="s">
        <v>1079</v>
      </c>
      <c r="Y330" t="s">
        <v>874</v>
      </c>
      <c r="Z330" t="s">
        <v>861</v>
      </c>
      <c r="AA330" t="s">
        <v>958</v>
      </c>
      <c r="AB330" t="s">
        <v>3255</v>
      </c>
      <c r="AD330" t="s">
        <v>3101</v>
      </c>
      <c r="AF330" t="s">
        <v>3102</v>
      </c>
      <c r="AG330" t="s">
        <v>1545</v>
      </c>
      <c r="AH330" t="s">
        <v>3103</v>
      </c>
      <c r="AJ330" t="s">
        <v>861</v>
      </c>
      <c r="AK330" t="s">
        <v>880</v>
      </c>
      <c r="AL330" t="s">
        <v>913</v>
      </c>
      <c r="AM330" t="s">
        <v>986</v>
      </c>
      <c r="AN330" t="s">
        <v>986</v>
      </c>
      <c r="AO330" t="s">
        <v>3256</v>
      </c>
      <c r="AP330" t="s">
        <v>1101</v>
      </c>
      <c r="AQ330" t="s">
        <v>1131</v>
      </c>
      <c r="AR330" t="s">
        <v>3257</v>
      </c>
      <c r="AS330" t="s">
        <v>1131</v>
      </c>
      <c r="AT330" t="s">
        <v>1131</v>
      </c>
      <c r="AU330" t="s">
        <v>886</v>
      </c>
      <c r="AW330" t="s">
        <v>1131</v>
      </c>
      <c r="AX330" t="s">
        <v>1131</v>
      </c>
      <c r="AZ330" t="s">
        <v>889</v>
      </c>
      <c r="BA330" t="s">
        <v>1133</v>
      </c>
      <c r="BB330" t="s">
        <v>1037</v>
      </c>
      <c r="BK330" t="s">
        <v>1134</v>
      </c>
      <c r="BL330">
        <v>430</v>
      </c>
      <c r="BM330">
        <v>68.09</v>
      </c>
      <c r="BN330">
        <v>6192</v>
      </c>
      <c r="BO330">
        <v>17647.900000000001</v>
      </c>
      <c r="BP330">
        <v>17647.900000000001</v>
      </c>
      <c r="BQ330">
        <v>19394.25</v>
      </c>
      <c r="BR330">
        <v>1746.35</v>
      </c>
      <c r="BS330" t="s">
        <v>892</v>
      </c>
      <c r="BT330">
        <v>1744</v>
      </c>
      <c r="BV330" t="s">
        <v>3105</v>
      </c>
      <c r="BW330" t="s">
        <v>3106</v>
      </c>
      <c r="BX330" t="s">
        <v>1007</v>
      </c>
      <c r="BY330" t="s">
        <v>3022</v>
      </c>
      <c r="CD330" t="s">
        <v>3258</v>
      </c>
      <c r="CG330" t="s">
        <v>3259</v>
      </c>
      <c r="CH330" t="s">
        <v>994</v>
      </c>
      <c r="CI330" t="s">
        <v>3259</v>
      </c>
      <c r="CJ330" t="s">
        <v>3259</v>
      </c>
      <c r="CM330" t="s">
        <v>1044</v>
      </c>
      <c r="CN330" t="s">
        <v>1045</v>
      </c>
      <c r="CO330" t="s">
        <v>3260</v>
      </c>
      <c r="CP330" t="s">
        <v>921</v>
      </c>
      <c r="CT330" t="s">
        <v>901</v>
      </c>
    </row>
    <row r="331" spans="1:98" x14ac:dyDescent="0.15">
      <c r="A331" t="s">
        <v>1259</v>
      </c>
      <c r="B331" t="s">
        <v>862</v>
      </c>
      <c r="C331" t="s">
        <v>380</v>
      </c>
      <c r="D331" t="s">
        <v>380</v>
      </c>
      <c r="E331" t="s">
        <v>380</v>
      </c>
      <c r="F331" t="s">
        <v>863</v>
      </c>
      <c r="G331" t="s">
        <v>864</v>
      </c>
      <c r="H331" t="s">
        <v>865</v>
      </c>
      <c r="I331" t="s">
        <v>379</v>
      </c>
      <c r="J331" t="s">
        <v>3261</v>
      </c>
      <c r="K331" t="s">
        <v>977</v>
      </c>
      <c r="L331" t="s">
        <v>868</v>
      </c>
      <c r="N331" t="s">
        <v>1259</v>
      </c>
      <c r="O331">
        <v>0</v>
      </c>
      <c r="P331" t="s">
        <v>869</v>
      </c>
      <c r="Q331" t="s">
        <v>19</v>
      </c>
      <c r="R331" t="s">
        <v>870</v>
      </c>
      <c r="S331" t="s">
        <v>979</v>
      </c>
      <c r="T331" t="s">
        <v>3099</v>
      </c>
      <c r="U331" t="s">
        <v>3099</v>
      </c>
      <c r="V331" t="s">
        <v>921</v>
      </c>
      <c r="W331" t="s">
        <v>1079</v>
      </c>
      <c r="Y331" t="s">
        <v>874</v>
      </c>
      <c r="Z331" t="s">
        <v>861</v>
      </c>
      <c r="AA331" t="s">
        <v>875</v>
      </c>
      <c r="AD331" t="s">
        <v>3101</v>
      </c>
      <c r="AF331" t="s">
        <v>3102</v>
      </c>
      <c r="AG331" t="s">
        <v>1131</v>
      </c>
      <c r="AH331" t="s">
        <v>3103</v>
      </c>
      <c r="AI331" t="s">
        <v>3262</v>
      </c>
      <c r="AJ331" t="s">
        <v>861</v>
      </c>
      <c r="AK331" t="s">
        <v>880</v>
      </c>
      <c r="AL331" t="s">
        <v>913</v>
      </c>
      <c r="AM331" t="s">
        <v>986</v>
      </c>
      <c r="AP331" t="s">
        <v>1252</v>
      </c>
      <c r="AQ331" t="s">
        <v>1131</v>
      </c>
      <c r="AR331" t="s">
        <v>1265</v>
      </c>
      <c r="AS331" t="s">
        <v>1131</v>
      </c>
      <c r="AT331" t="s">
        <v>1131</v>
      </c>
      <c r="AU331" t="s">
        <v>886</v>
      </c>
      <c r="AW331" t="s">
        <v>1131</v>
      </c>
      <c r="AX331" t="s">
        <v>1131</v>
      </c>
      <c r="AZ331" t="s">
        <v>1266</v>
      </c>
      <c r="BA331" t="s">
        <v>1133</v>
      </c>
      <c r="BK331" t="s">
        <v>1134</v>
      </c>
      <c r="BL331">
        <v>956</v>
      </c>
      <c r="BM331">
        <v>65.25</v>
      </c>
      <c r="BN331">
        <v>11667</v>
      </c>
      <c r="BO331">
        <v>27192.78</v>
      </c>
      <c r="BP331">
        <v>27192.78</v>
      </c>
      <c r="BQ331">
        <v>28940.28</v>
      </c>
      <c r="BR331">
        <v>1747.5</v>
      </c>
      <c r="BS331" t="s">
        <v>892</v>
      </c>
      <c r="BT331">
        <v>1744</v>
      </c>
      <c r="BV331" t="s">
        <v>3105</v>
      </c>
      <c r="BW331" t="s">
        <v>3106</v>
      </c>
      <c r="BX331" t="s">
        <v>1007</v>
      </c>
      <c r="BY331" t="s">
        <v>3022</v>
      </c>
      <c r="CD331" t="s">
        <v>3011</v>
      </c>
      <c r="CG331" t="s">
        <v>3263</v>
      </c>
      <c r="CH331" t="s">
        <v>994</v>
      </c>
      <c r="CI331" t="s">
        <v>3263</v>
      </c>
      <c r="CJ331" t="s">
        <v>3263</v>
      </c>
      <c r="CP331" t="s">
        <v>921</v>
      </c>
      <c r="CT331" t="s">
        <v>901</v>
      </c>
    </row>
    <row r="332" spans="1:98" x14ac:dyDescent="0.15">
      <c r="A332" t="s">
        <v>861</v>
      </c>
      <c r="B332" t="s">
        <v>862</v>
      </c>
      <c r="C332" t="s">
        <v>149</v>
      </c>
      <c r="D332" t="s">
        <v>149</v>
      </c>
      <c r="E332" t="s">
        <v>149</v>
      </c>
      <c r="F332" t="s">
        <v>863</v>
      </c>
      <c r="G332" t="s">
        <v>1025</v>
      </c>
      <c r="H332" t="s">
        <v>1026</v>
      </c>
      <c r="I332" t="s">
        <v>147</v>
      </c>
      <c r="J332" t="s">
        <v>3264</v>
      </c>
      <c r="K332" t="s">
        <v>977</v>
      </c>
      <c r="L332" t="s">
        <v>868</v>
      </c>
      <c r="N332" t="s">
        <v>1259</v>
      </c>
      <c r="O332">
        <v>0</v>
      </c>
      <c r="P332" t="s">
        <v>869</v>
      </c>
      <c r="Q332" t="s">
        <v>19</v>
      </c>
      <c r="R332" t="s">
        <v>870</v>
      </c>
      <c r="S332" t="s">
        <v>979</v>
      </c>
      <c r="T332" t="s">
        <v>3099</v>
      </c>
      <c r="U332" t="s">
        <v>3099</v>
      </c>
      <c r="V332" t="s">
        <v>921</v>
      </c>
      <c r="W332" t="s">
        <v>1079</v>
      </c>
      <c r="Y332" t="s">
        <v>874</v>
      </c>
      <c r="Z332" t="s">
        <v>861</v>
      </c>
      <c r="AA332" t="s">
        <v>958</v>
      </c>
      <c r="AB332" t="s">
        <v>3265</v>
      </c>
      <c r="AD332" t="s">
        <v>3101</v>
      </c>
      <c r="AF332" t="s">
        <v>3102</v>
      </c>
      <c r="AG332" t="s">
        <v>1545</v>
      </c>
      <c r="AH332" t="s">
        <v>3103</v>
      </c>
      <c r="AJ332" t="s">
        <v>861</v>
      </c>
      <c r="AK332" t="s">
        <v>880</v>
      </c>
      <c r="AL332" t="s">
        <v>913</v>
      </c>
      <c r="AM332" t="s">
        <v>986</v>
      </c>
      <c r="AN332" t="s">
        <v>986</v>
      </c>
      <c r="AO332" t="s">
        <v>3266</v>
      </c>
      <c r="AP332" t="s">
        <v>1101</v>
      </c>
      <c r="AQ332" t="s">
        <v>1131</v>
      </c>
      <c r="AR332" t="s">
        <v>3267</v>
      </c>
      <c r="AS332" t="s">
        <v>1131</v>
      </c>
      <c r="AT332" t="s">
        <v>1131</v>
      </c>
      <c r="AU332" t="s">
        <v>886</v>
      </c>
      <c r="AW332" t="s">
        <v>1131</v>
      </c>
      <c r="AX332" t="s">
        <v>1131</v>
      </c>
      <c r="AZ332" t="s">
        <v>889</v>
      </c>
      <c r="BA332" t="s">
        <v>1133</v>
      </c>
      <c r="BB332" t="s">
        <v>1037</v>
      </c>
      <c r="BK332" t="s">
        <v>1134</v>
      </c>
      <c r="BL332">
        <v>959</v>
      </c>
      <c r="BM332">
        <v>64.319999999999993</v>
      </c>
      <c r="BN332">
        <v>5875</v>
      </c>
      <c r="BO332">
        <v>13829.97</v>
      </c>
      <c r="BP332">
        <v>13829.97</v>
      </c>
      <c r="BQ332">
        <v>15575.86</v>
      </c>
      <c r="BR332">
        <v>1745.88</v>
      </c>
      <c r="BS332" t="s">
        <v>892</v>
      </c>
      <c r="BT332">
        <v>1744</v>
      </c>
      <c r="BV332" t="s">
        <v>3105</v>
      </c>
      <c r="BW332" t="s">
        <v>3106</v>
      </c>
      <c r="BX332" t="s">
        <v>1007</v>
      </c>
      <c r="BY332" t="s">
        <v>3268</v>
      </c>
      <c r="CD332" t="s">
        <v>3269</v>
      </c>
      <c r="CG332" t="s">
        <v>3270</v>
      </c>
      <c r="CH332" t="s">
        <v>994</v>
      </c>
      <c r="CI332" t="s">
        <v>3270</v>
      </c>
      <c r="CJ332" t="s">
        <v>3270</v>
      </c>
      <c r="CM332" t="s">
        <v>1044</v>
      </c>
      <c r="CN332" t="s">
        <v>1045</v>
      </c>
      <c r="CO332" t="s">
        <v>3271</v>
      </c>
      <c r="CP332" t="s">
        <v>921</v>
      </c>
      <c r="CT332" t="s">
        <v>901</v>
      </c>
    </row>
    <row r="333" spans="1:98" x14ac:dyDescent="0.15">
      <c r="A333" t="s">
        <v>861</v>
      </c>
      <c r="B333" t="s">
        <v>862</v>
      </c>
      <c r="C333" t="s">
        <v>335</v>
      </c>
      <c r="D333" t="s">
        <v>335</v>
      </c>
      <c r="E333" t="s">
        <v>335</v>
      </c>
      <c r="F333" t="s">
        <v>863</v>
      </c>
      <c r="G333" t="s">
        <v>1025</v>
      </c>
      <c r="H333" t="s">
        <v>1026</v>
      </c>
      <c r="I333" t="s">
        <v>334</v>
      </c>
      <c r="J333" t="s">
        <v>3272</v>
      </c>
      <c r="K333" t="s">
        <v>977</v>
      </c>
      <c r="L333" t="s">
        <v>868</v>
      </c>
      <c r="N333" t="s">
        <v>861</v>
      </c>
      <c r="O333">
        <v>0</v>
      </c>
      <c r="P333" t="s">
        <v>869</v>
      </c>
      <c r="Q333" t="s">
        <v>19</v>
      </c>
      <c r="R333" t="s">
        <v>870</v>
      </c>
      <c r="S333" t="s">
        <v>979</v>
      </c>
      <c r="T333" t="s">
        <v>3099</v>
      </c>
      <c r="U333" t="s">
        <v>3099</v>
      </c>
      <c r="V333" t="s">
        <v>921</v>
      </c>
      <c r="W333" t="s">
        <v>1079</v>
      </c>
      <c r="Y333" t="s">
        <v>874</v>
      </c>
      <c r="Z333" t="s">
        <v>861</v>
      </c>
      <c r="AA333" t="s">
        <v>958</v>
      </c>
      <c r="AB333" t="s">
        <v>3273</v>
      </c>
      <c r="AD333" t="s">
        <v>3101</v>
      </c>
      <c r="AF333" t="s">
        <v>3102</v>
      </c>
      <c r="AG333" t="s">
        <v>1545</v>
      </c>
      <c r="AH333" t="s">
        <v>3103</v>
      </c>
      <c r="AJ333" t="s">
        <v>861</v>
      </c>
      <c r="AK333" t="s">
        <v>880</v>
      </c>
      <c r="AL333" t="s">
        <v>913</v>
      </c>
      <c r="AM333" t="s">
        <v>986</v>
      </c>
      <c r="AN333" t="s">
        <v>986</v>
      </c>
      <c r="AO333" t="s">
        <v>3274</v>
      </c>
      <c r="AP333" t="s">
        <v>1101</v>
      </c>
      <c r="AQ333" t="s">
        <v>1131</v>
      </c>
      <c r="AR333" t="s">
        <v>1132</v>
      </c>
      <c r="AS333" t="s">
        <v>1131</v>
      </c>
      <c r="AT333" t="s">
        <v>1131</v>
      </c>
      <c r="AU333" t="s">
        <v>886</v>
      </c>
      <c r="AW333" t="s">
        <v>1131</v>
      </c>
      <c r="AX333" t="s">
        <v>1131</v>
      </c>
      <c r="AZ333" t="s">
        <v>969</v>
      </c>
      <c r="BA333" t="s">
        <v>1133</v>
      </c>
      <c r="BB333" t="s">
        <v>1035</v>
      </c>
      <c r="BK333" t="s">
        <v>1134</v>
      </c>
      <c r="BL333">
        <v>842</v>
      </c>
      <c r="BM333">
        <v>64.290000000000006</v>
      </c>
      <c r="BN333">
        <v>7083</v>
      </c>
      <c r="BO333">
        <v>15190.86</v>
      </c>
      <c r="BP333">
        <v>15190.86</v>
      </c>
      <c r="BQ333">
        <v>16936.91</v>
      </c>
      <c r="BR333">
        <v>1746.05</v>
      </c>
      <c r="BS333" t="s">
        <v>892</v>
      </c>
      <c r="BT333">
        <v>1744</v>
      </c>
      <c r="BV333" t="s">
        <v>3105</v>
      </c>
      <c r="BW333" t="s">
        <v>3106</v>
      </c>
      <c r="BX333" t="s">
        <v>1007</v>
      </c>
      <c r="BY333" t="s">
        <v>3268</v>
      </c>
      <c r="CD333" t="s">
        <v>3269</v>
      </c>
      <c r="CG333" t="s">
        <v>3275</v>
      </c>
      <c r="CH333" t="s">
        <v>994</v>
      </c>
      <c r="CI333" t="s">
        <v>3275</v>
      </c>
      <c r="CJ333" t="s">
        <v>3275</v>
      </c>
      <c r="CM333" t="s">
        <v>1044</v>
      </c>
      <c r="CN333" t="s">
        <v>1045</v>
      </c>
      <c r="CO333" t="s">
        <v>3276</v>
      </c>
      <c r="CP333" t="s">
        <v>921</v>
      </c>
      <c r="CT333" t="s">
        <v>901</v>
      </c>
    </row>
    <row r="334" spans="1:98" x14ac:dyDescent="0.15">
      <c r="A334" t="s">
        <v>861</v>
      </c>
      <c r="B334" t="s">
        <v>862</v>
      </c>
      <c r="C334" t="s">
        <v>393</v>
      </c>
      <c r="D334" t="s">
        <v>393</v>
      </c>
      <c r="E334" t="s">
        <v>393</v>
      </c>
      <c r="F334" t="s">
        <v>863</v>
      </c>
      <c r="G334" t="s">
        <v>1025</v>
      </c>
      <c r="H334" t="s">
        <v>1026</v>
      </c>
      <c r="I334" t="s">
        <v>392</v>
      </c>
      <c r="J334" t="s">
        <v>3277</v>
      </c>
      <c r="K334" t="s">
        <v>977</v>
      </c>
      <c r="L334" t="s">
        <v>868</v>
      </c>
      <c r="N334" t="s">
        <v>861</v>
      </c>
      <c r="O334">
        <v>0</v>
      </c>
      <c r="P334" t="s">
        <v>869</v>
      </c>
      <c r="Q334" t="s">
        <v>19</v>
      </c>
      <c r="R334" t="s">
        <v>870</v>
      </c>
      <c r="S334" t="s">
        <v>979</v>
      </c>
      <c r="T334" t="s">
        <v>3099</v>
      </c>
      <c r="U334" t="s">
        <v>3099</v>
      </c>
      <c r="V334" t="s">
        <v>921</v>
      </c>
      <c r="W334" t="s">
        <v>1079</v>
      </c>
      <c r="Y334" t="s">
        <v>910</v>
      </c>
      <c r="Z334" t="s">
        <v>861</v>
      </c>
      <c r="AA334" t="s">
        <v>958</v>
      </c>
      <c r="AB334" t="s">
        <v>3278</v>
      </c>
      <c r="AD334" t="s">
        <v>3101</v>
      </c>
      <c r="AF334" t="s">
        <v>3102</v>
      </c>
      <c r="AG334" t="s">
        <v>1131</v>
      </c>
      <c r="AH334" t="s">
        <v>3103</v>
      </c>
      <c r="AJ334" t="s">
        <v>861</v>
      </c>
      <c r="AK334" t="s">
        <v>880</v>
      </c>
      <c r="AL334" t="s">
        <v>913</v>
      </c>
      <c r="AM334" t="s">
        <v>986</v>
      </c>
      <c r="AN334" t="s">
        <v>986</v>
      </c>
      <c r="AO334" t="s">
        <v>3279</v>
      </c>
      <c r="AP334" t="s">
        <v>1101</v>
      </c>
      <c r="AQ334" t="s">
        <v>1131</v>
      </c>
      <c r="AR334" t="s">
        <v>1028</v>
      </c>
      <c r="AS334" t="s">
        <v>1131</v>
      </c>
      <c r="AT334" t="s">
        <v>1131</v>
      </c>
      <c r="AU334" t="s">
        <v>886</v>
      </c>
      <c r="AW334" t="s">
        <v>1131</v>
      </c>
      <c r="AX334" t="s">
        <v>1340</v>
      </c>
      <c r="AZ334" t="s">
        <v>889</v>
      </c>
      <c r="BA334" t="s">
        <v>1440</v>
      </c>
      <c r="BB334" t="s">
        <v>1035</v>
      </c>
      <c r="BK334" t="s">
        <v>1134</v>
      </c>
      <c r="BL334">
        <v>1054</v>
      </c>
      <c r="BM334">
        <v>67.3</v>
      </c>
      <c r="BN334">
        <v>9028.6</v>
      </c>
      <c r="BO334">
        <v>24667.74</v>
      </c>
      <c r="BP334">
        <v>24667.74</v>
      </c>
      <c r="BQ334">
        <v>26414.94</v>
      </c>
      <c r="BR334">
        <v>1747.2</v>
      </c>
      <c r="BS334" t="s">
        <v>892</v>
      </c>
      <c r="BT334">
        <v>1744</v>
      </c>
      <c r="BV334" t="s">
        <v>3105</v>
      </c>
      <c r="BW334" t="s">
        <v>3106</v>
      </c>
      <c r="BX334" t="s">
        <v>1007</v>
      </c>
      <c r="BY334" t="s">
        <v>3280</v>
      </c>
      <c r="CD334" t="s">
        <v>3281</v>
      </c>
      <c r="CG334" t="s">
        <v>3282</v>
      </c>
      <c r="CH334" t="s">
        <v>994</v>
      </c>
      <c r="CI334" t="s">
        <v>3282</v>
      </c>
      <c r="CJ334" t="s">
        <v>3282</v>
      </c>
      <c r="CM334" t="s">
        <v>1044</v>
      </c>
      <c r="CN334" t="s">
        <v>1045</v>
      </c>
      <c r="CO334" t="s">
        <v>3283</v>
      </c>
      <c r="CP334" t="s">
        <v>921</v>
      </c>
      <c r="CT334" t="s">
        <v>901</v>
      </c>
    </row>
    <row r="335" spans="1:98" x14ac:dyDescent="0.15">
      <c r="A335" t="s">
        <v>861</v>
      </c>
      <c r="B335" t="s">
        <v>862</v>
      </c>
      <c r="C335" t="s">
        <v>669</v>
      </c>
      <c r="D335" t="s">
        <v>669</v>
      </c>
      <c r="E335" t="s">
        <v>669</v>
      </c>
      <c r="F335" t="s">
        <v>863</v>
      </c>
      <c r="G335" t="s">
        <v>864</v>
      </c>
      <c r="H335" t="s">
        <v>863</v>
      </c>
      <c r="I335" t="s">
        <v>668</v>
      </c>
      <c r="J335" t="s">
        <v>3284</v>
      </c>
      <c r="K335" t="s">
        <v>867</v>
      </c>
      <c r="L335" t="s">
        <v>868</v>
      </c>
      <c r="N335" t="s">
        <v>861</v>
      </c>
      <c r="O335">
        <v>0</v>
      </c>
      <c r="P335" t="s">
        <v>869</v>
      </c>
      <c r="Q335" t="s">
        <v>11</v>
      </c>
      <c r="R335" t="s">
        <v>870</v>
      </c>
      <c r="S335" t="s">
        <v>871</v>
      </c>
      <c r="T335" t="s">
        <v>2754</v>
      </c>
      <c r="U335" t="s">
        <v>2754</v>
      </c>
      <c r="V335" t="s">
        <v>1212</v>
      </c>
      <c r="Y335" t="s">
        <v>874</v>
      </c>
      <c r="Z335" t="s">
        <v>861</v>
      </c>
      <c r="AA335" t="s">
        <v>922</v>
      </c>
      <c r="AJ335" t="s">
        <v>861</v>
      </c>
      <c r="AK335" t="s">
        <v>880</v>
      </c>
      <c r="AL335" t="s">
        <v>881</v>
      </c>
      <c r="AM335" t="s">
        <v>882</v>
      </c>
      <c r="AP335" t="s">
        <v>969</v>
      </c>
      <c r="AQ335" t="s">
        <v>2755</v>
      </c>
      <c r="AS335" t="s">
        <v>2755</v>
      </c>
      <c r="AT335" t="s">
        <v>2755</v>
      </c>
      <c r="AU335" t="s">
        <v>886</v>
      </c>
      <c r="AW335" t="s">
        <v>1277</v>
      </c>
      <c r="AX335" t="s">
        <v>2836</v>
      </c>
      <c r="AZ335" t="s">
        <v>1577</v>
      </c>
      <c r="BA335" t="s">
        <v>1278</v>
      </c>
      <c r="BK335" t="s">
        <v>891</v>
      </c>
      <c r="BL335">
        <v>1284</v>
      </c>
      <c r="BM335">
        <v>66.09</v>
      </c>
      <c r="BN335">
        <v>11669.5</v>
      </c>
      <c r="BO335">
        <v>27044.78</v>
      </c>
      <c r="BP335">
        <v>27044.78</v>
      </c>
      <c r="BQ335">
        <v>27044.78</v>
      </c>
      <c r="BR335">
        <v>0</v>
      </c>
      <c r="BS335" t="s">
        <v>892</v>
      </c>
      <c r="BT335">
        <v>2639</v>
      </c>
      <c r="BV335" t="s">
        <v>3189</v>
      </c>
      <c r="BW335" t="s">
        <v>1020</v>
      </c>
      <c r="BX335" t="s">
        <v>895</v>
      </c>
      <c r="BY335" t="s">
        <v>3285</v>
      </c>
      <c r="CD335" t="s">
        <v>3286</v>
      </c>
      <c r="CG335" t="s">
        <v>3284</v>
      </c>
      <c r="CH335" t="s">
        <v>898</v>
      </c>
      <c r="CI335" t="s">
        <v>3287</v>
      </c>
      <c r="CJ335" t="s">
        <v>3287</v>
      </c>
      <c r="CP335" t="s">
        <v>1292</v>
      </c>
      <c r="CT335" t="s">
        <v>901</v>
      </c>
    </row>
    <row r="336" spans="1:98" x14ac:dyDescent="0.15">
      <c r="A336" t="s">
        <v>861</v>
      </c>
      <c r="B336" t="s">
        <v>862</v>
      </c>
      <c r="C336" t="s">
        <v>657</v>
      </c>
      <c r="D336" t="s">
        <v>657</v>
      </c>
      <c r="E336" t="s">
        <v>657</v>
      </c>
      <c r="F336" t="s">
        <v>863</v>
      </c>
      <c r="G336" t="s">
        <v>864</v>
      </c>
      <c r="H336" t="s">
        <v>863</v>
      </c>
      <c r="I336" t="s">
        <v>656</v>
      </c>
      <c r="J336" t="s">
        <v>3288</v>
      </c>
      <c r="K336" t="s">
        <v>867</v>
      </c>
      <c r="L336" t="s">
        <v>868</v>
      </c>
      <c r="N336" t="s">
        <v>861</v>
      </c>
      <c r="O336">
        <v>0</v>
      </c>
      <c r="P336" t="s">
        <v>869</v>
      </c>
      <c r="Q336" t="s">
        <v>11</v>
      </c>
      <c r="R336" t="s">
        <v>870</v>
      </c>
      <c r="S336" t="s">
        <v>871</v>
      </c>
      <c r="T336" t="s">
        <v>2754</v>
      </c>
      <c r="U336" t="s">
        <v>2754</v>
      </c>
      <c r="V336" t="s">
        <v>1212</v>
      </c>
      <c r="Y336" t="s">
        <v>874</v>
      </c>
      <c r="Z336" t="s">
        <v>861</v>
      </c>
      <c r="AA336" t="s">
        <v>922</v>
      </c>
      <c r="AJ336" t="s">
        <v>861</v>
      </c>
      <c r="AK336" t="s">
        <v>880</v>
      </c>
      <c r="AL336" t="s">
        <v>881</v>
      </c>
      <c r="AM336" t="s">
        <v>882</v>
      </c>
      <c r="AP336" t="s">
        <v>969</v>
      </c>
      <c r="AQ336" t="s">
        <v>2755</v>
      </c>
      <c r="AS336" t="s">
        <v>2755</v>
      </c>
      <c r="AT336" t="s">
        <v>2755</v>
      </c>
      <c r="AU336" t="s">
        <v>886</v>
      </c>
      <c r="AW336" t="s">
        <v>1277</v>
      </c>
      <c r="AX336" t="s">
        <v>2836</v>
      </c>
      <c r="AZ336" t="s">
        <v>1577</v>
      </c>
      <c r="BA336" t="s">
        <v>1278</v>
      </c>
      <c r="BK336" t="s">
        <v>891</v>
      </c>
      <c r="BL336">
        <v>552</v>
      </c>
      <c r="BM336">
        <v>65.25</v>
      </c>
      <c r="BN336">
        <v>12868</v>
      </c>
      <c r="BO336">
        <v>23869.09</v>
      </c>
      <c r="BP336">
        <v>23869.09</v>
      </c>
      <c r="BQ336">
        <v>23869.09</v>
      </c>
      <c r="BR336">
        <v>0</v>
      </c>
      <c r="BS336" t="s">
        <v>892</v>
      </c>
      <c r="BT336">
        <v>2639</v>
      </c>
      <c r="BV336" t="s">
        <v>3189</v>
      </c>
      <c r="BW336" t="s">
        <v>1020</v>
      </c>
      <c r="BX336" t="s">
        <v>895</v>
      </c>
      <c r="BY336" t="s">
        <v>3289</v>
      </c>
      <c r="CD336" t="s">
        <v>3286</v>
      </c>
      <c r="CG336" t="s">
        <v>3288</v>
      </c>
      <c r="CH336" t="s">
        <v>898</v>
      </c>
      <c r="CI336" t="s">
        <v>3290</v>
      </c>
      <c r="CJ336" t="s">
        <v>3290</v>
      </c>
      <c r="CP336" t="s">
        <v>1292</v>
      </c>
      <c r="CT336" t="s">
        <v>901</v>
      </c>
    </row>
    <row r="337" spans="1:98" x14ac:dyDescent="0.15">
      <c r="A337" t="s">
        <v>861</v>
      </c>
      <c r="B337" t="s">
        <v>862</v>
      </c>
      <c r="C337" t="s">
        <v>320</v>
      </c>
      <c r="D337" t="s">
        <v>320</v>
      </c>
      <c r="E337" t="s">
        <v>320</v>
      </c>
      <c r="F337" t="s">
        <v>863</v>
      </c>
      <c r="G337" t="s">
        <v>864</v>
      </c>
      <c r="H337" t="s">
        <v>1026</v>
      </c>
      <c r="I337" t="s">
        <v>319</v>
      </c>
      <c r="J337" t="s">
        <v>3291</v>
      </c>
      <c r="K337" t="s">
        <v>867</v>
      </c>
      <c r="L337" t="s">
        <v>868</v>
      </c>
      <c r="N337" t="s">
        <v>861</v>
      </c>
      <c r="O337">
        <v>0</v>
      </c>
      <c r="P337" t="s">
        <v>1180</v>
      </c>
      <c r="Q337" t="s">
        <v>19</v>
      </c>
      <c r="R337" t="s">
        <v>919</v>
      </c>
      <c r="S337" t="s">
        <v>979</v>
      </c>
      <c r="T337" t="s">
        <v>1038</v>
      </c>
      <c r="U337" t="s">
        <v>1038</v>
      </c>
      <c r="V337" t="s">
        <v>1394</v>
      </c>
      <c r="W337" t="s">
        <v>1332</v>
      </c>
      <c r="Y337" t="s">
        <v>910</v>
      </c>
      <c r="Z337" t="s">
        <v>861</v>
      </c>
      <c r="AA337" t="s">
        <v>958</v>
      </c>
      <c r="AB337" t="s">
        <v>3292</v>
      </c>
      <c r="AD337" t="s">
        <v>869</v>
      </c>
      <c r="AF337" t="s">
        <v>1611</v>
      </c>
      <c r="AG337" t="s">
        <v>3293</v>
      </c>
      <c r="AH337" t="s">
        <v>1247</v>
      </c>
      <c r="AI337" t="s">
        <v>957</v>
      </c>
      <c r="AJ337" t="s">
        <v>861</v>
      </c>
      <c r="AK337" t="s">
        <v>880</v>
      </c>
      <c r="AL337" t="s">
        <v>913</v>
      </c>
      <c r="AM337" t="s">
        <v>986</v>
      </c>
      <c r="AN337" t="s">
        <v>986</v>
      </c>
      <c r="AO337" t="s">
        <v>3294</v>
      </c>
      <c r="AP337" t="s">
        <v>957</v>
      </c>
      <c r="AQ337" t="s">
        <v>890</v>
      </c>
      <c r="AR337" t="s">
        <v>3295</v>
      </c>
      <c r="AS337" t="s">
        <v>890</v>
      </c>
      <c r="AT337" t="s">
        <v>890</v>
      </c>
      <c r="AU337" t="s">
        <v>886</v>
      </c>
      <c r="AW337" t="s">
        <v>890</v>
      </c>
      <c r="AX337" t="s">
        <v>890</v>
      </c>
      <c r="AZ337" t="s">
        <v>965</v>
      </c>
      <c r="BA337" t="s">
        <v>988</v>
      </c>
      <c r="BB337" t="s">
        <v>3296</v>
      </c>
      <c r="BK337" t="s">
        <v>891</v>
      </c>
      <c r="BL337">
        <v>730</v>
      </c>
      <c r="BM337">
        <v>69.66</v>
      </c>
      <c r="BN337">
        <v>11424.8</v>
      </c>
      <c r="BO337">
        <v>23752.51</v>
      </c>
      <c r="BP337">
        <v>23752.51</v>
      </c>
      <c r="BQ337">
        <v>23752.51</v>
      </c>
      <c r="BR337">
        <v>0</v>
      </c>
      <c r="BS337" t="s">
        <v>892</v>
      </c>
      <c r="BT337">
        <v>1829</v>
      </c>
      <c r="BV337" t="s">
        <v>1587</v>
      </c>
      <c r="BW337" t="s">
        <v>1614</v>
      </c>
      <c r="BX337" t="s">
        <v>895</v>
      </c>
      <c r="BY337" t="s">
        <v>3297</v>
      </c>
      <c r="CD337" t="s">
        <v>3298</v>
      </c>
      <c r="CG337" t="s">
        <v>3291</v>
      </c>
      <c r="CH337" t="s">
        <v>898</v>
      </c>
      <c r="CI337" t="s">
        <v>3299</v>
      </c>
      <c r="CJ337" t="s">
        <v>3299</v>
      </c>
      <c r="CM337" t="s">
        <v>1044</v>
      </c>
      <c r="CN337" t="s">
        <v>1045</v>
      </c>
      <c r="CO337" t="s">
        <v>3300</v>
      </c>
      <c r="CP337" t="s">
        <v>1292</v>
      </c>
      <c r="CT337" t="s">
        <v>901</v>
      </c>
    </row>
    <row r="338" spans="1:98" x14ac:dyDescent="0.15">
      <c r="A338" t="s">
        <v>861</v>
      </c>
      <c r="B338" t="s">
        <v>862</v>
      </c>
      <c r="C338" t="s">
        <v>282</v>
      </c>
      <c r="D338" t="s">
        <v>282</v>
      </c>
      <c r="E338" t="s">
        <v>282</v>
      </c>
      <c r="F338" t="s">
        <v>863</v>
      </c>
      <c r="G338" t="s">
        <v>1025</v>
      </c>
      <c r="H338" t="s">
        <v>865</v>
      </c>
      <c r="I338" t="s">
        <v>281</v>
      </c>
      <c r="J338" t="s">
        <v>3301</v>
      </c>
      <c r="K338" t="s">
        <v>867</v>
      </c>
      <c r="L338" t="s">
        <v>868</v>
      </c>
      <c r="N338" t="s">
        <v>861</v>
      </c>
      <c r="O338">
        <v>0</v>
      </c>
      <c r="P338" t="s">
        <v>1180</v>
      </c>
      <c r="Q338" t="s">
        <v>19</v>
      </c>
      <c r="R338" t="s">
        <v>919</v>
      </c>
      <c r="S338" t="s">
        <v>979</v>
      </c>
      <c r="T338" t="s">
        <v>1038</v>
      </c>
      <c r="U338" t="s">
        <v>1038</v>
      </c>
      <c r="V338" t="s">
        <v>1394</v>
      </c>
      <c r="W338" t="s">
        <v>1332</v>
      </c>
      <c r="Y338" t="s">
        <v>874</v>
      </c>
      <c r="Z338" t="s">
        <v>861</v>
      </c>
      <c r="AA338" t="s">
        <v>958</v>
      </c>
      <c r="AB338" t="s">
        <v>3302</v>
      </c>
      <c r="AD338" t="s">
        <v>869</v>
      </c>
      <c r="AF338" t="s">
        <v>1611</v>
      </c>
      <c r="AG338" t="s">
        <v>3303</v>
      </c>
      <c r="AH338" t="s">
        <v>1247</v>
      </c>
      <c r="AI338" t="s">
        <v>1267</v>
      </c>
      <c r="AJ338" t="s">
        <v>861</v>
      </c>
      <c r="AK338" t="s">
        <v>880</v>
      </c>
      <c r="AL338" t="s">
        <v>913</v>
      </c>
      <c r="AM338" t="s">
        <v>986</v>
      </c>
      <c r="AP338" t="s">
        <v>1267</v>
      </c>
      <c r="AQ338" t="s">
        <v>890</v>
      </c>
      <c r="AR338" t="s">
        <v>3304</v>
      </c>
      <c r="AS338" t="s">
        <v>890</v>
      </c>
      <c r="AT338" t="s">
        <v>890</v>
      </c>
      <c r="AU338" t="s">
        <v>886</v>
      </c>
      <c r="AW338" t="s">
        <v>890</v>
      </c>
      <c r="AX338" t="s">
        <v>890</v>
      </c>
      <c r="AZ338" t="s">
        <v>969</v>
      </c>
      <c r="BA338" t="s">
        <v>988</v>
      </c>
      <c r="BK338" t="s">
        <v>891</v>
      </c>
      <c r="BL338">
        <v>87</v>
      </c>
      <c r="BM338">
        <v>66.849999999999994</v>
      </c>
      <c r="BN338">
        <v>13060.1</v>
      </c>
      <c r="BO338">
        <v>23531.41</v>
      </c>
      <c r="BP338">
        <v>23531.41</v>
      </c>
      <c r="BQ338">
        <v>23531.41</v>
      </c>
      <c r="BR338">
        <v>0</v>
      </c>
      <c r="BS338" t="s">
        <v>892</v>
      </c>
      <c r="BT338">
        <v>1829</v>
      </c>
      <c r="BV338" t="s">
        <v>1587</v>
      </c>
      <c r="BW338" t="s">
        <v>1614</v>
      </c>
      <c r="BX338" t="s">
        <v>895</v>
      </c>
      <c r="BY338" t="s">
        <v>3297</v>
      </c>
      <c r="CD338" t="s">
        <v>3305</v>
      </c>
      <c r="CG338" t="s">
        <v>3301</v>
      </c>
      <c r="CH338" t="s">
        <v>898</v>
      </c>
      <c r="CI338" t="s">
        <v>3306</v>
      </c>
      <c r="CJ338" t="s">
        <v>3306</v>
      </c>
      <c r="CP338" t="s">
        <v>1292</v>
      </c>
      <c r="CT338" t="s">
        <v>901</v>
      </c>
    </row>
    <row r="339" spans="1:98" x14ac:dyDescent="0.15">
      <c r="A339" t="s">
        <v>861</v>
      </c>
      <c r="B339" t="s">
        <v>862</v>
      </c>
      <c r="C339" t="s">
        <v>98</v>
      </c>
      <c r="D339" t="s">
        <v>98</v>
      </c>
      <c r="E339" t="s">
        <v>98</v>
      </c>
      <c r="F339" t="s">
        <v>863</v>
      </c>
      <c r="G339" t="s">
        <v>864</v>
      </c>
      <c r="H339" t="s">
        <v>937</v>
      </c>
      <c r="I339" t="s">
        <v>97</v>
      </c>
      <c r="J339" t="s">
        <v>3307</v>
      </c>
      <c r="K339" t="s">
        <v>867</v>
      </c>
      <c r="L339" t="s">
        <v>868</v>
      </c>
      <c r="N339" t="s">
        <v>861</v>
      </c>
      <c r="O339">
        <v>0</v>
      </c>
      <c r="P339" t="s">
        <v>3205</v>
      </c>
      <c r="Q339" t="s">
        <v>19</v>
      </c>
      <c r="R339" t="s">
        <v>919</v>
      </c>
      <c r="S339" t="s">
        <v>979</v>
      </c>
      <c r="T339" t="s">
        <v>1265</v>
      </c>
      <c r="U339" t="s">
        <v>1265</v>
      </c>
      <c r="V339" t="s">
        <v>1533</v>
      </c>
      <c r="Y339" t="s">
        <v>874</v>
      </c>
      <c r="Z339" t="s">
        <v>861</v>
      </c>
      <c r="AA339" t="s">
        <v>958</v>
      </c>
      <c r="AB339" t="s">
        <v>3308</v>
      </c>
      <c r="AD339" t="s">
        <v>960</v>
      </c>
      <c r="AF339" t="s">
        <v>1360</v>
      </c>
      <c r="AG339" t="s">
        <v>3309</v>
      </c>
      <c r="AH339" t="s">
        <v>1362</v>
      </c>
      <c r="AI339" t="s">
        <v>3310</v>
      </c>
      <c r="AJ339" t="s">
        <v>861</v>
      </c>
      <c r="AK339" t="s">
        <v>880</v>
      </c>
      <c r="AL339" t="s">
        <v>913</v>
      </c>
      <c r="AM339" t="s">
        <v>986</v>
      </c>
      <c r="AP339" t="s">
        <v>883</v>
      </c>
      <c r="AQ339" t="s">
        <v>890</v>
      </c>
      <c r="AS339" t="s">
        <v>890</v>
      </c>
      <c r="AT339" t="s">
        <v>890</v>
      </c>
      <c r="AU339" t="s">
        <v>886</v>
      </c>
      <c r="AW339" t="s">
        <v>890</v>
      </c>
      <c r="AX339" t="s">
        <v>890</v>
      </c>
      <c r="AZ339" t="s">
        <v>965</v>
      </c>
      <c r="BA339" t="s">
        <v>988</v>
      </c>
      <c r="BK339" t="s">
        <v>891</v>
      </c>
      <c r="BL339">
        <v>371</v>
      </c>
      <c r="BM339">
        <v>68.22</v>
      </c>
      <c r="BN339">
        <v>10223</v>
      </c>
      <c r="BO339">
        <v>20727.810000000001</v>
      </c>
      <c r="BP339">
        <v>20727.810000000001</v>
      </c>
      <c r="BQ339">
        <v>20727.810000000001</v>
      </c>
      <c r="BR339">
        <v>0</v>
      </c>
      <c r="BS339" t="s">
        <v>892</v>
      </c>
      <c r="BT339">
        <v>1919</v>
      </c>
      <c r="BV339" t="s">
        <v>3311</v>
      </c>
      <c r="BW339" t="s">
        <v>3312</v>
      </c>
      <c r="BX339" t="s">
        <v>895</v>
      </c>
      <c r="BY339" t="s">
        <v>3313</v>
      </c>
      <c r="CD339" t="s">
        <v>3314</v>
      </c>
      <c r="CG339" t="s">
        <v>3307</v>
      </c>
      <c r="CH339" t="s">
        <v>898</v>
      </c>
      <c r="CI339" t="s">
        <v>3315</v>
      </c>
      <c r="CJ339" t="s">
        <v>3315</v>
      </c>
      <c r="CP339" t="s">
        <v>1168</v>
      </c>
      <c r="CT339" t="s">
        <v>901</v>
      </c>
    </row>
    <row r="340" spans="1:98" x14ac:dyDescent="0.15">
      <c r="A340" t="s">
        <v>861</v>
      </c>
      <c r="B340" t="s">
        <v>862</v>
      </c>
      <c r="C340" t="s">
        <v>21</v>
      </c>
      <c r="D340" t="s">
        <v>21</v>
      </c>
      <c r="E340" t="s">
        <v>21</v>
      </c>
      <c r="F340" t="s">
        <v>863</v>
      </c>
      <c r="G340" t="s">
        <v>864</v>
      </c>
      <c r="H340" t="s">
        <v>937</v>
      </c>
      <c r="I340" t="s">
        <v>18</v>
      </c>
      <c r="J340" t="s">
        <v>3316</v>
      </c>
      <c r="K340" t="s">
        <v>867</v>
      </c>
      <c r="L340" t="s">
        <v>868</v>
      </c>
      <c r="N340" t="s">
        <v>1259</v>
      </c>
      <c r="O340">
        <v>0</v>
      </c>
      <c r="P340" t="s">
        <v>3205</v>
      </c>
      <c r="Q340" t="s">
        <v>19</v>
      </c>
      <c r="R340" t="s">
        <v>919</v>
      </c>
      <c r="S340" t="s">
        <v>979</v>
      </c>
      <c r="T340" t="s">
        <v>1265</v>
      </c>
      <c r="U340" t="s">
        <v>1265</v>
      </c>
      <c r="V340" t="s">
        <v>1533</v>
      </c>
      <c r="Y340" t="s">
        <v>874</v>
      </c>
      <c r="Z340" t="s">
        <v>861</v>
      </c>
      <c r="AA340" t="s">
        <v>958</v>
      </c>
      <c r="AB340" t="s">
        <v>3317</v>
      </c>
      <c r="AD340" t="s">
        <v>960</v>
      </c>
      <c r="AF340" t="s">
        <v>1360</v>
      </c>
      <c r="AG340" t="s">
        <v>3318</v>
      </c>
      <c r="AH340" t="s">
        <v>1362</v>
      </c>
      <c r="AI340" t="s">
        <v>3319</v>
      </c>
      <c r="AJ340" t="s">
        <v>861</v>
      </c>
      <c r="AK340" t="s">
        <v>880</v>
      </c>
      <c r="AL340" t="s">
        <v>913</v>
      </c>
      <c r="AM340" t="s">
        <v>986</v>
      </c>
      <c r="AP340" t="s">
        <v>883</v>
      </c>
      <c r="AQ340" t="s">
        <v>890</v>
      </c>
      <c r="AS340" t="s">
        <v>890</v>
      </c>
      <c r="AT340" t="s">
        <v>890</v>
      </c>
      <c r="AU340" t="s">
        <v>886</v>
      </c>
      <c r="AW340" t="s">
        <v>890</v>
      </c>
      <c r="AX340" t="s">
        <v>988</v>
      </c>
      <c r="AZ340" t="s">
        <v>965</v>
      </c>
      <c r="BA340" t="s">
        <v>1061</v>
      </c>
      <c r="BK340" t="s">
        <v>891</v>
      </c>
      <c r="BL340">
        <v>843</v>
      </c>
      <c r="BM340">
        <v>67.41</v>
      </c>
      <c r="BN340">
        <v>10857</v>
      </c>
      <c r="BO340">
        <v>29115.74</v>
      </c>
      <c r="BP340">
        <v>29115.74</v>
      </c>
      <c r="BQ340">
        <v>29115.74</v>
      </c>
      <c r="BR340">
        <v>0</v>
      </c>
      <c r="BS340" t="s">
        <v>892</v>
      </c>
      <c r="BT340">
        <v>1919</v>
      </c>
      <c r="BV340" t="s">
        <v>3311</v>
      </c>
      <c r="BW340" t="s">
        <v>3312</v>
      </c>
      <c r="BX340" t="s">
        <v>895</v>
      </c>
      <c r="BY340" t="s">
        <v>3320</v>
      </c>
      <c r="CD340" t="s">
        <v>3321</v>
      </c>
      <c r="CG340" t="s">
        <v>3316</v>
      </c>
      <c r="CH340" t="s">
        <v>898</v>
      </c>
      <c r="CI340" t="s">
        <v>3322</v>
      </c>
      <c r="CJ340" t="s">
        <v>3322</v>
      </c>
      <c r="CP340" t="s">
        <v>1168</v>
      </c>
      <c r="CT340" t="s">
        <v>901</v>
      </c>
    </row>
    <row r="341" spans="1:98" x14ac:dyDescent="0.15">
      <c r="A341" t="s">
        <v>861</v>
      </c>
      <c r="B341" t="s">
        <v>862</v>
      </c>
      <c r="C341" t="s">
        <v>163</v>
      </c>
      <c r="D341" t="s">
        <v>163</v>
      </c>
      <c r="E341" t="s">
        <v>163</v>
      </c>
      <c r="F341" t="s">
        <v>863</v>
      </c>
      <c r="G341" t="s">
        <v>1025</v>
      </c>
      <c r="H341" t="s">
        <v>1026</v>
      </c>
      <c r="I341" t="s">
        <v>162</v>
      </c>
      <c r="J341" t="s">
        <v>3323</v>
      </c>
      <c r="K341" t="s">
        <v>867</v>
      </c>
      <c r="L341" t="s">
        <v>868</v>
      </c>
      <c r="N341" t="s">
        <v>861</v>
      </c>
      <c r="O341">
        <v>0</v>
      </c>
      <c r="P341" t="s">
        <v>3205</v>
      </c>
      <c r="Q341" t="s">
        <v>19</v>
      </c>
      <c r="R341" t="s">
        <v>919</v>
      </c>
      <c r="S341" t="s">
        <v>979</v>
      </c>
      <c r="T341" t="s">
        <v>1331</v>
      </c>
      <c r="U341" t="s">
        <v>1331</v>
      </c>
      <c r="V341" t="s">
        <v>1706</v>
      </c>
      <c r="W341" t="s">
        <v>1332</v>
      </c>
      <c r="Y341" t="s">
        <v>874</v>
      </c>
      <c r="Z341" t="s">
        <v>861</v>
      </c>
      <c r="AA341" t="s">
        <v>958</v>
      </c>
      <c r="AB341" t="s">
        <v>3324</v>
      </c>
      <c r="AD341" t="s">
        <v>960</v>
      </c>
      <c r="AF341" t="s">
        <v>1335</v>
      </c>
      <c r="AG341" t="s">
        <v>3325</v>
      </c>
      <c r="AH341" t="s">
        <v>1362</v>
      </c>
      <c r="AI341" t="s">
        <v>3326</v>
      </c>
      <c r="AJ341" t="s">
        <v>861</v>
      </c>
      <c r="AK341" t="s">
        <v>880</v>
      </c>
      <c r="AL341" t="s">
        <v>913</v>
      </c>
      <c r="AM341" t="s">
        <v>986</v>
      </c>
      <c r="AN341" t="s">
        <v>986</v>
      </c>
      <c r="AO341" t="s">
        <v>3327</v>
      </c>
      <c r="AP341" t="s">
        <v>1226</v>
      </c>
      <c r="AQ341" t="s">
        <v>1028</v>
      </c>
      <c r="AR341" t="s">
        <v>3328</v>
      </c>
      <c r="AS341" t="s">
        <v>1028</v>
      </c>
      <c r="AT341" t="s">
        <v>1028</v>
      </c>
      <c r="AU341" t="s">
        <v>886</v>
      </c>
      <c r="AW341" t="s">
        <v>1028</v>
      </c>
      <c r="AX341" t="s">
        <v>1028</v>
      </c>
      <c r="AZ341" t="s">
        <v>968</v>
      </c>
      <c r="BA341" t="s">
        <v>1340</v>
      </c>
      <c r="BB341" t="s">
        <v>3329</v>
      </c>
      <c r="BK341" t="s">
        <v>891</v>
      </c>
      <c r="BL341">
        <v>715</v>
      </c>
      <c r="BM341">
        <v>69.099999999999994</v>
      </c>
      <c r="BN341">
        <v>9865.2000000000007</v>
      </c>
      <c r="BO341">
        <v>28989.279999999999</v>
      </c>
      <c r="BP341">
        <v>28989.279999999999</v>
      </c>
      <c r="BQ341">
        <v>28989.279999999999</v>
      </c>
      <c r="BR341">
        <v>0</v>
      </c>
      <c r="BS341" t="s">
        <v>892</v>
      </c>
      <c r="BT341">
        <v>1919</v>
      </c>
      <c r="BV341" t="s">
        <v>3311</v>
      </c>
      <c r="BW341" t="s">
        <v>3210</v>
      </c>
      <c r="BX341" t="s">
        <v>895</v>
      </c>
      <c r="BY341" t="s">
        <v>3330</v>
      </c>
      <c r="CD341" t="s">
        <v>3331</v>
      </c>
      <c r="CG341" t="s">
        <v>3323</v>
      </c>
      <c r="CH341" t="s">
        <v>898</v>
      </c>
      <c r="CI341" t="s">
        <v>3332</v>
      </c>
      <c r="CJ341" t="s">
        <v>3332</v>
      </c>
      <c r="CM341" t="s">
        <v>1044</v>
      </c>
      <c r="CN341" t="s">
        <v>1045</v>
      </c>
      <c r="CO341" t="s">
        <v>3333</v>
      </c>
      <c r="CP341" t="s">
        <v>1292</v>
      </c>
      <c r="CT341" t="s">
        <v>901</v>
      </c>
    </row>
    <row r="342" spans="1:98" x14ac:dyDescent="0.15">
      <c r="A342" t="s">
        <v>861</v>
      </c>
      <c r="B342" t="s">
        <v>862</v>
      </c>
      <c r="C342" t="s">
        <v>362</v>
      </c>
      <c r="D342" t="s">
        <v>362</v>
      </c>
      <c r="E342" t="s">
        <v>362</v>
      </c>
      <c r="F342" t="s">
        <v>863</v>
      </c>
      <c r="G342" t="s">
        <v>864</v>
      </c>
      <c r="H342" t="s">
        <v>1026</v>
      </c>
      <c r="I342" t="s">
        <v>361</v>
      </c>
      <c r="J342" t="s">
        <v>3334</v>
      </c>
      <c r="K342" t="s">
        <v>867</v>
      </c>
      <c r="L342" t="s">
        <v>868</v>
      </c>
      <c r="N342" t="s">
        <v>861</v>
      </c>
      <c r="O342">
        <v>0</v>
      </c>
      <c r="P342" t="s">
        <v>3205</v>
      </c>
      <c r="Q342" t="s">
        <v>19</v>
      </c>
      <c r="R342" t="s">
        <v>919</v>
      </c>
      <c r="S342" t="s">
        <v>979</v>
      </c>
      <c r="T342" t="s">
        <v>1331</v>
      </c>
      <c r="U342" t="s">
        <v>1331</v>
      </c>
      <c r="V342" t="s">
        <v>1706</v>
      </c>
      <c r="W342" t="s">
        <v>1332</v>
      </c>
      <c r="Y342" t="s">
        <v>874</v>
      </c>
      <c r="Z342" t="s">
        <v>861</v>
      </c>
      <c r="AA342" t="s">
        <v>958</v>
      </c>
      <c r="AB342" t="s">
        <v>3335</v>
      </c>
      <c r="AD342" t="s">
        <v>960</v>
      </c>
      <c r="AF342" t="s">
        <v>1335</v>
      </c>
      <c r="AG342" t="s">
        <v>3336</v>
      </c>
      <c r="AH342" t="s">
        <v>1362</v>
      </c>
      <c r="AJ342" t="s">
        <v>861</v>
      </c>
      <c r="AK342" t="s">
        <v>880</v>
      </c>
      <c r="AL342" t="s">
        <v>913</v>
      </c>
      <c r="AM342" t="s">
        <v>986</v>
      </c>
      <c r="AN342" t="s">
        <v>986</v>
      </c>
      <c r="AO342" t="s">
        <v>3337</v>
      </c>
      <c r="AP342" t="s">
        <v>999</v>
      </c>
      <c r="AQ342" t="s">
        <v>1028</v>
      </c>
      <c r="AR342" t="s">
        <v>3338</v>
      </c>
      <c r="AS342" t="s">
        <v>1028</v>
      </c>
      <c r="AT342" t="s">
        <v>1028</v>
      </c>
      <c r="AU342" t="s">
        <v>886</v>
      </c>
      <c r="AW342" t="s">
        <v>1028</v>
      </c>
      <c r="AX342" t="s">
        <v>1028</v>
      </c>
      <c r="AZ342" t="s">
        <v>883</v>
      </c>
      <c r="BA342" t="s">
        <v>1340</v>
      </c>
      <c r="BB342" t="s">
        <v>3339</v>
      </c>
      <c r="BK342" t="s">
        <v>891</v>
      </c>
      <c r="BL342">
        <v>590</v>
      </c>
      <c r="BM342">
        <v>66.78</v>
      </c>
      <c r="BN342">
        <v>10233</v>
      </c>
      <c r="BO342">
        <v>20151.7</v>
      </c>
      <c r="BP342">
        <v>20151.7</v>
      </c>
      <c r="BQ342">
        <v>20151.7</v>
      </c>
      <c r="BR342">
        <v>0</v>
      </c>
      <c r="BS342" t="s">
        <v>892</v>
      </c>
      <c r="BT342">
        <v>1919</v>
      </c>
      <c r="BV342" t="s">
        <v>3311</v>
      </c>
      <c r="BW342" t="s">
        <v>3210</v>
      </c>
      <c r="BX342" t="s">
        <v>895</v>
      </c>
      <c r="BY342" t="s">
        <v>3330</v>
      </c>
      <c r="CD342" t="s">
        <v>3340</v>
      </c>
      <c r="CG342" t="s">
        <v>3334</v>
      </c>
      <c r="CH342" t="s">
        <v>898</v>
      </c>
      <c r="CI342" t="s">
        <v>3341</v>
      </c>
      <c r="CJ342" t="s">
        <v>3341</v>
      </c>
      <c r="CM342" t="s">
        <v>1044</v>
      </c>
      <c r="CN342" t="s">
        <v>1045</v>
      </c>
      <c r="CO342" t="s">
        <v>3342</v>
      </c>
      <c r="CP342" t="s">
        <v>1292</v>
      </c>
      <c r="CT342" t="s">
        <v>901</v>
      </c>
    </row>
    <row r="343" spans="1:98" x14ac:dyDescent="0.15">
      <c r="A343" t="s">
        <v>861</v>
      </c>
      <c r="B343" t="s">
        <v>862</v>
      </c>
      <c r="C343" t="s">
        <v>172</v>
      </c>
      <c r="D343" t="s">
        <v>172</v>
      </c>
      <c r="E343" t="s">
        <v>172</v>
      </c>
      <c r="F343" t="s">
        <v>863</v>
      </c>
      <c r="G343" t="s">
        <v>864</v>
      </c>
      <c r="H343" t="s">
        <v>1026</v>
      </c>
      <c r="I343" t="s">
        <v>171</v>
      </c>
      <c r="J343" t="s">
        <v>3343</v>
      </c>
      <c r="K343" t="s">
        <v>867</v>
      </c>
      <c r="L343" t="s">
        <v>868</v>
      </c>
      <c r="N343" t="s">
        <v>861</v>
      </c>
      <c r="O343">
        <v>0</v>
      </c>
      <c r="P343" t="s">
        <v>3205</v>
      </c>
      <c r="Q343" t="s">
        <v>19</v>
      </c>
      <c r="R343" t="s">
        <v>919</v>
      </c>
      <c r="S343" t="s">
        <v>979</v>
      </c>
      <c r="T343" t="s">
        <v>1331</v>
      </c>
      <c r="U343" t="s">
        <v>1331</v>
      </c>
      <c r="V343" t="s">
        <v>873</v>
      </c>
      <c r="W343" t="s">
        <v>1332</v>
      </c>
      <c r="Y343" t="s">
        <v>874</v>
      </c>
      <c r="Z343" t="s">
        <v>861</v>
      </c>
      <c r="AA343" t="s">
        <v>958</v>
      </c>
      <c r="AB343" t="s">
        <v>3344</v>
      </c>
      <c r="AD343" t="s">
        <v>960</v>
      </c>
      <c r="AF343" t="s">
        <v>1335</v>
      </c>
      <c r="AG343" t="s">
        <v>3345</v>
      </c>
      <c r="AH343" t="s">
        <v>1247</v>
      </c>
      <c r="AI343" t="s">
        <v>1088</v>
      </c>
      <c r="AJ343" t="s">
        <v>861</v>
      </c>
      <c r="AK343" t="s">
        <v>880</v>
      </c>
      <c r="AL343" t="s">
        <v>913</v>
      </c>
      <c r="AM343" t="s">
        <v>986</v>
      </c>
      <c r="AN343" t="s">
        <v>986</v>
      </c>
      <c r="AO343" t="s">
        <v>3346</v>
      </c>
      <c r="AP343" t="s">
        <v>1088</v>
      </c>
      <c r="AQ343" t="s">
        <v>1028</v>
      </c>
      <c r="AR343" t="s">
        <v>3347</v>
      </c>
      <c r="AS343" t="s">
        <v>1028</v>
      </c>
      <c r="AT343" t="s">
        <v>1028</v>
      </c>
      <c r="AU343" t="s">
        <v>886</v>
      </c>
      <c r="AW343" t="s">
        <v>1028</v>
      </c>
      <c r="AX343" t="s">
        <v>1028</v>
      </c>
      <c r="AZ343" t="s">
        <v>883</v>
      </c>
      <c r="BA343" t="s">
        <v>1340</v>
      </c>
      <c r="BB343" t="s">
        <v>3348</v>
      </c>
      <c r="BK343" t="s">
        <v>891</v>
      </c>
      <c r="BL343">
        <v>651</v>
      </c>
      <c r="BM343">
        <v>68.81</v>
      </c>
      <c r="BN343">
        <v>10740</v>
      </c>
      <c r="BO343">
        <v>25886.7</v>
      </c>
      <c r="BP343">
        <v>25886.7</v>
      </c>
      <c r="BQ343">
        <v>25886.7</v>
      </c>
      <c r="BR343">
        <v>0</v>
      </c>
      <c r="BS343" t="s">
        <v>892</v>
      </c>
      <c r="BT343">
        <v>1919</v>
      </c>
      <c r="BV343" t="s">
        <v>3349</v>
      </c>
      <c r="BW343" t="s">
        <v>3350</v>
      </c>
      <c r="BX343" t="s">
        <v>895</v>
      </c>
      <c r="BY343" t="s">
        <v>3351</v>
      </c>
      <c r="CD343" t="s">
        <v>3352</v>
      </c>
      <c r="CG343" t="s">
        <v>3343</v>
      </c>
      <c r="CH343" t="s">
        <v>898</v>
      </c>
      <c r="CI343" t="s">
        <v>3353</v>
      </c>
      <c r="CJ343" t="s">
        <v>3353</v>
      </c>
      <c r="CM343" t="s">
        <v>1044</v>
      </c>
      <c r="CN343" t="s">
        <v>1045</v>
      </c>
      <c r="CO343" t="s">
        <v>3354</v>
      </c>
      <c r="CP343" t="s">
        <v>1013</v>
      </c>
      <c r="CT343" t="s">
        <v>901</v>
      </c>
    </row>
    <row r="344" spans="1:98" x14ac:dyDescent="0.15">
      <c r="A344" t="s">
        <v>861</v>
      </c>
      <c r="B344" t="s">
        <v>862</v>
      </c>
      <c r="C344" t="s">
        <v>322</v>
      </c>
      <c r="D344" t="s">
        <v>322</v>
      </c>
      <c r="E344" t="s">
        <v>322</v>
      </c>
      <c r="F344" t="s">
        <v>863</v>
      </c>
      <c r="G344" t="s">
        <v>864</v>
      </c>
      <c r="H344" t="s">
        <v>1026</v>
      </c>
      <c r="I344" t="s">
        <v>321</v>
      </c>
      <c r="J344" t="s">
        <v>3355</v>
      </c>
      <c r="K344" t="s">
        <v>867</v>
      </c>
      <c r="L344" t="s">
        <v>868</v>
      </c>
      <c r="N344" t="s">
        <v>861</v>
      </c>
      <c r="O344">
        <v>0</v>
      </c>
      <c r="P344" t="s">
        <v>3205</v>
      </c>
      <c r="Q344" t="s">
        <v>19</v>
      </c>
      <c r="R344" t="s">
        <v>919</v>
      </c>
      <c r="S344" t="s">
        <v>979</v>
      </c>
      <c r="T344" t="s">
        <v>1331</v>
      </c>
      <c r="U344" t="s">
        <v>1331</v>
      </c>
      <c r="V344" t="s">
        <v>873</v>
      </c>
      <c r="W344" t="s">
        <v>1332</v>
      </c>
      <c r="Y344" t="s">
        <v>874</v>
      </c>
      <c r="Z344" t="s">
        <v>861</v>
      </c>
      <c r="AA344" t="s">
        <v>958</v>
      </c>
      <c r="AB344" t="s">
        <v>3356</v>
      </c>
      <c r="AD344" t="s">
        <v>960</v>
      </c>
      <c r="AF344" t="s">
        <v>1335</v>
      </c>
      <c r="AG344" t="s">
        <v>3357</v>
      </c>
      <c r="AH344" t="s">
        <v>1247</v>
      </c>
      <c r="AI344" t="s">
        <v>1088</v>
      </c>
      <c r="AJ344" t="s">
        <v>861</v>
      </c>
      <c r="AK344" t="s">
        <v>880</v>
      </c>
      <c r="AL344" t="s">
        <v>913</v>
      </c>
      <c r="AM344" t="s">
        <v>986</v>
      </c>
      <c r="AN344" t="s">
        <v>986</v>
      </c>
      <c r="AO344" t="s">
        <v>3358</v>
      </c>
      <c r="AP344" t="s">
        <v>1088</v>
      </c>
      <c r="AQ344" t="s">
        <v>1028</v>
      </c>
      <c r="AR344" t="s">
        <v>3037</v>
      </c>
      <c r="AS344" t="s">
        <v>1028</v>
      </c>
      <c r="AT344" t="s">
        <v>1028</v>
      </c>
      <c r="AU344" t="s">
        <v>886</v>
      </c>
      <c r="AW344" t="s">
        <v>1028</v>
      </c>
      <c r="AX344" t="s">
        <v>1028</v>
      </c>
      <c r="AZ344" t="s">
        <v>883</v>
      </c>
      <c r="BA344" t="s">
        <v>1340</v>
      </c>
      <c r="BB344" t="s">
        <v>3359</v>
      </c>
      <c r="BK344" t="s">
        <v>891</v>
      </c>
      <c r="BL344">
        <v>591</v>
      </c>
      <c r="BM344">
        <v>66.11</v>
      </c>
      <c r="BN344">
        <v>8432.5</v>
      </c>
      <c r="BO344">
        <v>27697.55</v>
      </c>
      <c r="BP344">
        <v>27697.55</v>
      </c>
      <c r="BQ344">
        <v>27697.55</v>
      </c>
      <c r="BR344">
        <v>0</v>
      </c>
      <c r="BS344" t="s">
        <v>892</v>
      </c>
      <c r="BT344">
        <v>1919</v>
      </c>
      <c r="BV344" t="s">
        <v>3349</v>
      </c>
      <c r="BW344" t="s">
        <v>3350</v>
      </c>
      <c r="BX344" t="s">
        <v>895</v>
      </c>
      <c r="BY344" t="s">
        <v>3351</v>
      </c>
      <c r="CD344" t="s">
        <v>3360</v>
      </c>
      <c r="CG344" t="s">
        <v>3355</v>
      </c>
      <c r="CH344" t="s">
        <v>898</v>
      </c>
      <c r="CI344" t="s">
        <v>3361</v>
      </c>
      <c r="CJ344" t="s">
        <v>3361</v>
      </c>
      <c r="CM344" t="s">
        <v>1044</v>
      </c>
      <c r="CN344" t="s">
        <v>1045</v>
      </c>
      <c r="CO344" t="s">
        <v>3362</v>
      </c>
      <c r="CP344" t="s">
        <v>1013</v>
      </c>
      <c r="CT344" t="s">
        <v>901</v>
      </c>
    </row>
    <row r="345" spans="1:98" x14ac:dyDescent="0.15">
      <c r="A345" t="s">
        <v>861</v>
      </c>
      <c r="B345" t="s">
        <v>862</v>
      </c>
      <c r="C345" t="s">
        <v>312</v>
      </c>
      <c r="D345" t="s">
        <v>312</v>
      </c>
      <c r="E345" t="s">
        <v>312</v>
      </c>
      <c r="F345" t="s">
        <v>863</v>
      </c>
      <c r="G345" t="s">
        <v>864</v>
      </c>
      <c r="H345" t="s">
        <v>1026</v>
      </c>
      <c r="I345" t="s">
        <v>311</v>
      </c>
      <c r="J345" t="s">
        <v>3363</v>
      </c>
      <c r="K345" t="s">
        <v>867</v>
      </c>
      <c r="L345" t="s">
        <v>868</v>
      </c>
      <c r="N345" t="s">
        <v>861</v>
      </c>
      <c r="O345">
        <v>0</v>
      </c>
      <c r="P345" t="s">
        <v>3205</v>
      </c>
      <c r="Q345" t="s">
        <v>19</v>
      </c>
      <c r="R345" t="s">
        <v>919</v>
      </c>
      <c r="S345" t="s">
        <v>979</v>
      </c>
      <c r="T345" t="s">
        <v>1331</v>
      </c>
      <c r="U345" t="s">
        <v>1331</v>
      </c>
      <c r="V345" t="s">
        <v>873</v>
      </c>
      <c r="W345" t="s">
        <v>1332</v>
      </c>
      <c r="Y345" t="s">
        <v>910</v>
      </c>
      <c r="Z345" t="s">
        <v>861</v>
      </c>
      <c r="AA345" t="s">
        <v>958</v>
      </c>
      <c r="AB345" t="s">
        <v>3364</v>
      </c>
      <c r="AD345" t="s">
        <v>960</v>
      </c>
      <c r="AF345" t="s">
        <v>1335</v>
      </c>
      <c r="AG345" t="s">
        <v>3365</v>
      </c>
      <c r="AH345" t="s">
        <v>1247</v>
      </c>
      <c r="AI345" t="s">
        <v>1088</v>
      </c>
      <c r="AJ345" t="s">
        <v>861</v>
      </c>
      <c r="AK345" t="s">
        <v>880</v>
      </c>
      <c r="AL345" t="s">
        <v>913</v>
      </c>
      <c r="AM345" t="s">
        <v>986</v>
      </c>
      <c r="AN345" t="s">
        <v>986</v>
      </c>
      <c r="AO345" t="s">
        <v>3346</v>
      </c>
      <c r="AP345" t="s">
        <v>1088</v>
      </c>
      <c r="AQ345" t="s">
        <v>1028</v>
      </c>
      <c r="AR345" t="s">
        <v>3366</v>
      </c>
      <c r="AS345" t="s">
        <v>1028</v>
      </c>
      <c r="AT345" t="s">
        <v>1028</v>
      </c>
      <c r="AU345" t="s">
        <v>886</v>
      </c>
      <c r="AW345" t="s">
        <v>1028</v>
      </c>
      <c r="AX345" t="s">
        <v>1028</v>
      </c>
      <c r="AZ345" t="s">
        <v>883</v>
      </c>
      <c r="BA345" t="s">
        <v>1340</v>
      </c>
      <c r="BB345" t="s">
        <v>3367</v>
      </c>
      <c r="BK345" t="s">
        <v>891</v>
      </c>
      <c r="BL345">
        <v>757</v>
      </c>
      <c r="BM345">
        <v>68.599999999999994</v>
      </c>
      <c r="BN345">
        <v>7774.5</v>
      </c>
      <c r="BO345">
        <v>25752.43</v>
      </c>
      <c r="BP345">
        <v>25752.43</v>
      </c>
      <c r="BQ345">
        <v>25752.43</v>
      </c>
      <c r="BR345">
        <v>0</v>
      </c>
      <c r="BS345" t="s">
        <v>892</v>
      </c>
      <c r="BT345">
        <v>1919</v>
      </c>
      <c r="BV345" t="s">
        <v>3311</v>
      </c>
      <c r="BW345" t="s">
        <v>3350</v>
      </c>
      <c r="BX345" t="s">
        <v>895</v>
      </c>
      <c r="BY345" t="s">
        <v>3368</v>
      </c>
      <c r="CD345" t="s">
        <v>3360</v>
      </c>
      <c r="CG345" t="s">
        <v>3363</v>
      </c>
      <c r="CH345" t="s">
        <v>898</v>
      </c>
      <c r="CI345" t="s">
        <v>3369</v>
      </c>
      <c r="CJ345" t="s">
        <v>3369</v>
      </c>
      <c r="CM345" t="s">
        <v>1044</v>
      </c>
      <c r="CN345" t="s">
        <v>1045</v>
      </c>
      <c r="CO345" t="s">
        <v>3370</v>
      </c>
      <c r="CP345" t="s">
        <v>1013</v>
      </c>
      <c r="CT345" t="s">
        <v>901</v>
      </c>
    </row>
    <row r="346" spans="1:98" x14ac:dyDescent="0.15">
      <c r="A346" t="s">
        <v>861</v>
      </c>
      <c r="B346" t="s">
        <v>862</v>
      </c>
      <c r="C346" t="s">
        <v>278</v>
      </c>
      <c r="D346" t="s">
        <v>278</v>
      </c>
      <c r="E346" t="s">
        <v>278</v>
      </c>
      <c r="F346" t="s">
        <v>863</v>
      </c>
      <c r="G346" t="s">
        <v>864</v>
      </c>
      <c r="H346" t="s">
        <v>1026</v>
      </c>
      <c r="I346" t="s">
        <v>277</v>
      </c>
      <c r="J346" t="s">
        <v>3371</v>
      </c>
      <c r="K346" t="s">
        <v>867</v>
      </c>
      <c r="L346" t="s">
        <v>868</v>
      </c>
      <c r="N346" t="s">
        <v>861</v>
      </c>
      <c r="O346">
        <v>0</v>
      </c>
      <c r="P346" t="s">
        <v>3205</v>
      </c>
      <c r="Q346" t="s">
        <v>19</v>
      </c>
      <c r="R346" t="s">
        <v>919</v>
      </c>
      <c r="S346" t="s">
        <v>979</v>
      </c>
      <c r="T346" t="s">
        <v>1331</v>
      </c>
      <c r="U346" t="s">
        <v>1331</v>
      </c>
      <c r="V346" t="s">
        <v>873</v>
      </c>
      <c r="W346" t="s">
        <v>1332</v>
      </c>
      <c r="Y346" t="s">
        <v>874</v>
      </c>
      <c r="Z346" t="s">
        <v>861</v>
      </c>
      <c r="AA346" t="s">
        <v>958</v>
      </c>
      <c r="AB346" t="s">
        <v>3364</v>
      </c>
      <c r="AD346" t="s">
        <v>960</v>
      </c>
      <c r="AF346" t="s">
        <v>1335</v>
      </c>
      <c r="AG346" t="s">
        <v>3372</v>
      </c>
      <c r="AH346" t="s">
        <v>1247</v>
      </c>
      <c r="AI346" t="s">
        <v>1226</v>
      </c>
      <c r="AJ346" t="s">
        <v>861</v>
      </c>
      <c r="AK346" t="s">
        <v>880</v>
      </c>
      <c r="AL346" t="s">
        <v>913</v>
      </c>
      <c r="AM346" t="s">
        <v>986</v>
      </c>
      <c r="AN346" t="s">
        <v>986</v>
      </c>
      <c r="AO346" t="s">
        <v>3373</v>
      </c>
      <c r="AP346" t="s">
        <v>1226</v>
      </c>
      <c r="AQ346" t="s">
        <v>1028</v>
      </c>
      <c r="AR346" t="s">
        <v>3374</v>
      </c>
      <c r="AS346" t="s">
        <v>1028</v>
      </c>
      <c r="AT346" t="s">
        <v>1028</v>
      </c>
      <c r="AU346" t="s">
        <v>886</v>
      </c>
      <c r="AW346" t="s">
        <v>1028</v>
      </c>
      <c r="AX346" t="s">
        <v>1028</v>
      </c>
      <c r="AZ346" t="s">
        <v>968</v>
      </c>
      <c r="BA346" t="s">
        <v>1340</v>
      </c>
      <c r="BB346" t="s">
        <v>3375</v>
      </c>
      <c r="BK346" t="s">
        <v>891</v>
      </c>
      <c r="BL346">
        <v>594</v>
      </c>
      <c r="BM346">
        <v>66.52</v>
      </c>
      <c r="BN346">
        <v>13551</v>
      </c>
      <c r="BO346">
        <v>24689.78</v>
      </c>
      <c r="BP346">
        <v>24689.78</v>
      </c>
      <c r="BQ346">
        <v>24689.78</v>
      </c>
      <c r="BR346">
        <v>0</v>
      </c>
      <c r="BS346" t="s">
        <v>892</v>
      </c>
      <c r="BT346">
        <v>1919</v>
      </c>
      <c r="BV346" t="s">
        <v>3349</v>
      </c>
      <c r="BW346" t="s">
        <v>3350</v>
      </c>
      <c r="BX346" t="s">
        <v>895</v>
      </c>
      <c r="BY346" t="s">
        <v>3368</v>
      </c>
      <c r="CD346" t="s">
        <v>3376</v>
      </c>
      <c r="CG346" t="s">
        <v>3371</v>
      </c>
      <c r="CH346" t="s">
        <v>898</v>
      </c>
      <c r="CI346" t="s">
        <v>3377</v>
      </c>
      <c r="CJ346" t="s">
        <v>3377</v>
      </c>
      <c r="CM346" t="s">
        <v>1044</v>
      </c>
      <c r="CN346" t="s">
        <v>1045</v>
      </c>
      <c r="CO346" t="s">
        <v>3378</v>
      </c>
      <c r="CP346" t="s">
        <v>1013</v>
      </c>
      <c r="CT346" t="s">
        <v>901</v>
      </c>
    </row>
    <row r="347" spans="1:98" x14ac:dyDescent="0.15">
      <c r="A347" t="s">
        <v>861</v>
      </c>
      <c r="B347" t="s">
        <v>862</v>
      </c>
      <c r="C347" t="s">
        <v>733</v>
      </c>
      <c r="D347" t="s">
        <v>733</v>
      </c>
      <c r="E347" t="s">
        <v>733</v>
      </c>
      <c r="F347" t="s">
        <v>863</v>
      </c>
      <c r="G347" t="s">
        <v>864</v>
      </c>
      <c r="H347" t="s">
        <v>863</v>
      </c>
      <c r="I347" t="s">
        <v>731</v>
      </c>
      <c r="J347" t="s">
        <v>3379</v>
      </c>
      <c r="K347" t="s">
        <v>867</v>
      </c>
      <c r="L347" t="s">
        <v>868</v>
      </c>
      <c r="N347" t="s">
        <v>861</v>
      </c>
      <c r="O347">
        <v>0</v>
      </c>
      <c r="P347" t="s">
        <v>3205</v>
      </c>
      <c r="Q347" t="s">
        <v>11</v>
      </c>
      <c r="R347" t="s">
        <v>919</v>
      </c>
      <c r="S347" t="s">
        <v>871</v>
      </c>
      <c r="T347" t="s">
        <v>3206</v>
      </c>
      <c r="U347" t="s">
        <v>3206</v>
      </c>
      <c r="V347" t="s">
        <v>974</v>
      </c>
      <c r="Y347" t="s">
        <v>910</v>
      </c>
      <c r="Z347" t="s">
        <v>861</v>
      </c>
      <c r="AA347" t="s">
        <v>922</v>
      </c>
      <c r="AD347" t="s">
        <v>960</v>
      </c>
      <c r="AJ347" t="s">
        <v>861</v>
      </c>
      <c r="AK347" t="s">
        <v>880</v>
      </c>
      <c r="AL347" t="s">
        <v>881</v>
      </c>
      <c r="AM347" t="s">
        <v>882</v>
      </c>
      <c r="AP347" t="s">
        <v>1017</v>
      </c>
      <c r="AQ347" t="s">
        <v>3207</v>
      </c>
      <c r="AS347" t="s">
        <v>3207</v>
      </c>
      <c r="AT347" t="s">
        <v>3207</v>
      </c>
      <c r="AU347" t="s">
        <v>886</v>
      </c>
      <c r="AW347" t="s">
        <v>3208</v>
      </c>
      <c r="AX347" t="s">
        <v>930</v>
      </c>
      <c r="AZ347" t="s">
        <v>1451</v>
      </c>
      <c r="BA347" t="s">
        <v>2305</v>
      </c>
      <c r="BK347" t="s">
        <v>891</v>
      </c>
      <c r="BL347">
        <v>618</v>
      </c>
      <c r="BM347">
        <v>63.14</v>
      </c>
      <c r="BN347">
        <v>10505</v>
      </c>
      <c r="BO347">
        <v>24967.14</v>
      </c>
      <c r="BP347">
        <v>24967.14</v>
      </c>
      <c r="BQ347">
        <v>24967.14</v>
      </c>
      <c r="BR347">
        <v>0</v>
      </c>
      <c r="BS347" t="s">
        <v>892</v>
      </c>
      <c r="BT347">
        <v>2999</v>
      </c>
      <c r="BV347" t="s">
        <v>3209</v>
      </c>
      <c r="BW347" t="s">
        <v>3210</v>
      </c>
      <c r="BX347" t="s">
        <v>895</v>
      </c>
      <c r="BY347" t="s">
        <v>3380</v>
      </c>
      <c r="CD347" t="s">
        <v>3381</v>
      </c>
      <c r="CG347" t="s">
        <v>3379</v>
      </c>
      <c r="CH347" t="s">
        <v>898</v>
      </c>
      <c r="CI347" t="s">
        <v>3382</v>
      </c>
      <c r="CJ347" t="s">
        <v>3382</v>
      </c>
      <c r="CP347" t="s">
        <v>1250</v>
      </c>
      <c r="CT347" t="s">
        <v>901</v>
      </c>
    </row>
    <row r="348" spans="1:98" x14ac:dyDescent="0.15">
      <c r="A348" t="s">
        <v>861</v>
      </c>
      <c r="B348" t="s">
        <v>862</v>
      </c>
      <c r="C348" t="s">
        <v>747</v>
      </c>
      <c r="D348" t="s">
        <v>747</v>
      </c>
      <c r="E348" t="s">
        <v>747</v>
      </c>
      <c r="F348" t="s">
        <v>863</v>
      </c>
      <c r="G348" t="s">
        <v>864</v>
      </c>
      <c r="H348" t="s">
        <v>863</v>
      </c>
      <c r="I348" t="s">
        <v>746</v>
      </c>
      <c r="J348" t="s">
        <v>3383</v>
      </c>
      <c r="K348" t="s">
        <v>867</v>
      </c>
      <c r="L348" t="s">
        <v>868</v>
      </c>
      <c r="N348" t="s">
        <v>1259</v>
      </c>
      <c r="O348">
        <v>0</v>
      </c>
      <c r="P348" t="s">
        <v>3205</v>
      </c>
      <c r="Q348" t="s">
        <v>11</v>
      </c>
      <c r="R348" t="s">
        <v>919</v>
      </c>
      <c r="S348" t="s">
        <v>871</v>
      </c>
      <c r="T348" t="s">
        <v>2743</v>
      </c>
      <c r="U348" t="s">
        <v>2743</v>
      </c>
      <c r="V348" t="s">
        <v>1013</v>
      </c>
      <c r="Y348" t="s">
        <v>874</v>
      </c>
      <c r="Z348" t="s">
        <v>861</v>
      </c>
      <c r="AA348" t="s">
        <v>958</v>
      </c>
      <c r="AB348" t="s">
        <v>3384</v>
      </c>
      <c r="AD348" t="s">
        <v>960</v>
      </c>
      <c r="AJ348" t="s">
        <v>861</v>
      </c>
      <c r="AK348" t="s">
        <v>880</v>
      </c>
      <c r="AP348" t="s">
        <v>1373</v>
      </c>
      <c r="AZ348" t="s">
        <v>2730</v>
      </c>
      <c r="BK348" t="s">
        <v>891</v>
      </c>
      <c r="BL348">
        <v>406</v>
      </c>
      <c r="BM348">
        <v>71.150000000000006</v>
      </c>
      <c r="BN348">
        <v>15235</v>
      </c>
      <c r="BO348">
        <v>42062.6</v>
      </c>
      <c r="BP348">
        <v>42062.6</v>
      </c>
      <c r="BQ348">
        <v>42062.6</v>
      </c>
      <c r="BR348">
        <v>0</v>
      </c>
      <c r="BS348" t="s">
        <v>892</v>
      </c>
      <c r="BT348">
        <v>2999</v>
      </c>
      <c r="BV348" t="s">
        <v>3209</v>
      </c>
      <c r="BW348" t="s">
        <v>3312</v>
      </c>
      <c r="BX348" t="s">
        <v>895</v>
      </c>
      <c r="BY348" t="s">
        <v>3385</v>
      </c>
      <c r="CD348" t="s">
        <v>3386</v>
      </c>
      <c r="CG348" t="s">
        <v>3383</v>
      </c>
      <c r="CH348" t="s">
        <v>898</v>
      </c>
      <c r="CI348" t="s">
        <v>3387</v>
      </c>
      <c r="CJ348" t="s">
        <v>3387</v>
      </c>
      <c r="CP348" t="s">
        <v>1440</v>
      </c>
      <c r="CT348" t="s">
        <v>901</v>
      </c>
    </row>
    <row r="349" spans="1:98" x14ac:dyDescent="0.15">
      <c r="A349" t="s">
        <v>861</v>
      </c>
      <c r="B349" t="s">
        <v>862</v>
      </c>
      <c r="C349" t="s">
        <v>681</v>
      </c>
      <c r="D349" t="s">
        <v>681</v>
      </c>
      <c r="E349" t="s">
        <v>681</v>
      </c>
      <c r="F349" t="s">
        <v>863</v>
      </c>
      <c r="G349" t="s">
        <v>864</v>
      </c>
      <c r="H349" t="s">
        <v>863</v>
      </c>
      <c r="I349" t="s">
        <v>679</v>
      </c>
      <c r="J349" t="s">
        <v>3388</v>
      </c>
      <c r="K349" t="s">
        <v>867</v>
      </c>
      <c r="L349" t="s">
        <v>868</v>
      </c>
      <c r="N349" t="s">
        <v>861</v>
      </c>
      <c r="O349">
        <v>0</v>
      </c>
      <c r="P349" t="s">
        <v>3205</v>
      </c>
      <c r="Q349" t="s">
        <v>11</v>
      </c>
      <c r="R349" t="s">
        <v>919</v>
      </c>
      <c r="S349" t="s">
        <v>871</v>
      </c>
      <c r="T349" t="s">
        <v>2743</v>
      </c>
      <c r="U349" t="s">
        <v>2743</v>
      </c>
      <c r="V349" t="s">
        <v>1013</v>
      </c>
      <c r="Y349" t="s">
        <v>874</v>
      </c>
      <c r="Z349" t="s">
        <v>861</v>
      </c>
      <c r="AA349" t="s">
        <v>958</v>
      </c>
      <c r="AB349" t="s">
        <v>3389</v>
      </c>
      <c r="AD349" t="s">
        <v>960</v>
      </c>
      <c r="AJ349" t="s">
        <v>861</v>
      </c>
      <c r="AK349" t="s">
        <v>880</v>
      </c>
      <c r="AP349" t="s">
        <v>1373</v>
      </c>
      <c r="AZ349" t="s">
        <v>2730</v>
      </c>
      <c r="BK349" t="s">
        <v>891</v>
      </c>
      <c r="BL349">
        <v>628</v>
      </c>
      <c r="BM349">
        <v>61.19</v>
      </c>
      <c r="BN349">
        <v>8507.7999999999993</v>
      </c>
      <c r="BO349">
        <v>25022.5</v>
      </c>
      <c r="BP349">
        <v>25022.5</v>
      </c>
      <c r="BQ349">
        <v>25022.5</v>
      </c>
      <c r="BR349">
        <v>0</v>
      </c>
      <c r="BS349" t="s">
        <v>892</v>
      </c>
      <c r="BT349">
        <v>2999</v>
      </c>
      <c r="BV349" t="s">
        <v>3209</v>
      </c>
      <c r="BW349" t="s">
        <v>3312</v>
      </c>
      <c r="BX349" t="s">
        <v>895</v>
      </c>
      <c r="BY349" t="s">
        <v>3385</v>
      </c>
      <c r="CD349" t="s">
        <v>3390</v>
      </c>
      <c r="CG349" t="s">
        <v>3388</v>
      </c>
      <c r="CH349" t="s">
        <v>898</v>
      </c>
      <c r="CI349" t="s">
        <v>3391</v>
      </c>
      <c r="CJ349" t="s">
        <v>3391</v>
      </c>
      <c r="CP349" t="s">
        <v>1440</v>
      </c>
      <c r="CT349" t="s">
        <v>901</v>
      </c>
    </row>
    <row r="350" spans="1:98" x14ac:dyDescent="0.15">
      <c r="A350" t="s">
        <v>861</v>
      </c>
      <c r="B350" t="s">
        <v>862</v>
      </c>
      <c r="C350" t="s">
        <v>677</v>
      </c>
      <c r="D350" t="s">
        <v>677</v>
      </c>
      <c r="E350" t="s">
        <v>677</v>
      </c>
      <c r="F350" t="s">
        <v>863</v>
      </c>
      <c r="G350" t="s">
        <v>864</v>
      </c>
      <c r="H350" t="s">
        <v>863</v>
      </c>
      <c r="I350" t="s">
        <v>676</v>
      </c>
      <c r="J350" t="s">
        <v>3392</v>
      </c>
      <c r="K350" t="s">
        <v>867</v>
      </c>
      <c r="L350" t="s">
        <v>868</v>
      </c>
      <c r="N350" t="s">
        <v>861</v>
      </c>
      <c r="O350">
        <v>0</v>
      </c>
      <c r="P350" t="s">
        <v>3205</v>
      </c>
      <c r="Q350" t="s">
        <v>11</v>
      </c>
      <c r="R350" t="s">
        <v>919</v>
      </c>
      <c r="S350" t="s">
        <v>871</v>
      </c>
      <c r="T350" t="s">
        <v>3169</v>
      </c>
      <c r="U350" t="s">
        <v>3169</v>
      </c>
      <c r="V350" t="s">
        <v>1300</v>
      </c>
      <c r="Y350" t="s">
        <v>874</v>
      </c>
      <c r="Z350" t="s">
        <v>861</v>
      </c>
      <c r="AA350" t="s">
        <v>958</v>
      </c>
      <c r="AB350" t="s">
        <v>3393</v>
      </c>
      <c r="AD350" t="s">
        <v>960</v>
      </c>
      <c r="AJ350" t="s">
        <v>861</v>
      </c>
      <c r="AK350" t="s">
        <v>880</v>
      </c>
      <c r="AL350" t="s">
        <v>3394</v>
      </c>
      <c r="AM350" t="s">
        <v>882</v>
      </c>
      <c r="AP350" t="s">
        <v>965</v>
      </c>
      <c r="AQ350" t="s">
        <v>1470</v>
      </c>
      <c r="AS350" t="s">
        <v>1470</v>
      </c>
      <c r="AT350" t="s">
        <v>1470</v>
      </c>
      <c r="AU350" t="s">
        <v>886</v>
      </c>
      <c r="AW350" t="s">
        <v>1471</v>
      </c>
      <c r="AX350" t="s">
        <v>2253</v>
      </c>
      <c r="AZ350" t="s">
        <v>1003</v>
      </c>
      <c r="BA350" t="s">
        <v>1233</v>
      </c>
      <c r="BK350" t="s">
        <v>891</v>
      </c>
      <c r="BL350">
        <v>660</v>
      </c>
      <c r="BM350">
        <v>66.010000000000005</v>
      </c>
      <c r="BN350">
        <v>4212</v>
      </c>
      <c r="BO350">
        <v>14206.6</v>
      </c>
      <c r="BP350">
        <v>14206.6</v>
      </c>
      <c r="BQ350">
        <v>14206.6</v>
      </c>
      <c r="BR350">
        <v>0</v>
      </c>
      <c r="BS350" t="s">
        <v>892</v>
      </c>
      <c r="BT350">
        <v>2999</v>
      </c>
      <c r="BV350" t="s">
        <v>3209</v>
      </c>
      <c r="BW350" t="s">
        <v>3350</v>
      </c>
      <c r="BX350" t="s">
        <v>895</v>
      </c>
      <c r="BY350" t="s">
        <v>3395</v>
      </c>
      <c r="CD350" t="s">
        <v>3396</v>
      </c>
      <c r="CG350" t="s">
        <v>3392</v>
      </c>
      <c r="CH350" t="s">
        <v>898</v>
      </c>
      <c r="CI350" t="s">
        <v>3397</v>
      </c>
      <c r="CJ350" t="s">
        <v>3397</v>
      </c>
      <c r="CP350" t="s">
        <v>921</v>
      </c>
      <c r="CT350" t="s">
        <v>901</v>
      </c>
    </row>
    <row r="351" spans="1:98" x14ac:dyDescent="0.15">
      <c r="A351" t="s">
        <v>861</v>
      </c>
      <c r="B351" t="s">
        <v>862</v>
      </c>
      <c r="C351" t="s">
        <v>730</v>
      </c>
      <c r="D351" t="s">
        <v>730</v>
      </c>
      <c r="E351" t="s">
        <v>730</v>
      </c>
      <c r="F351" t="s">
        <v>863</v>
      </c>
      <c r="G351" t="s">
        <v>864</v>
      </c>
      <c r="H351" t="s">
        <v>863</v>
      </c>
      <c r="I351" t="s">
        <v>729</v>
      </c>
      <c r="J351" t="s">
        <v>3398</v>
      </c>
      <c r="K351" t="s">
        <v>867</v>
      </c>
      <c r="L351" t="s">
        <v>868</v>
      </c>
      <c r="N351" t="s">
        <v>1259</v>
      </c>
      <c r="O351">
        <v>0</v>
      </c>
      <c r="P351" t="s">
        <v>3205</v>
      </c>
      <c r="Q351" t="s">
        <v>15</v>
      </c>
      <c r="R351" t="s">
        <v>919</v>
      </c>
      <c r="S351" t="s">
        <v>954</v>
      </c>
      <c r="T351" t="s">
        <v>1414</v>
      </c>
      <c r="U351" t="s">
        <v>1414</v>
      </c>
      <c r="V351" t="s">
        <v>873</v>
      </c>
      <c r="W351" t="s">
        <v>968</v>
      </c>
      <c r="Y351" t="s">
        <v>874</v>
      </c>
      <c r="Z351" t="s">
        <v>861</v>
      </c>
      <c r="AA351" t="s">
        <v>922</v>
      </c>
      <c r="AD351" t="s">
        <v>960</v>
      </c>
      <c r="AJ351" t="s">
        <v>861</v>
      </c>
      <c r="AK351" t="s">
        <v>880</v>
      </c>
      <c r="AP351" t="s">
        <v>1003</v>
      </c>
      <c r="AZ351" t="s">
        <v>1266</v>
      </c>
      <c r="BK351" t="s">
        <v>891</v>
      </c>
      <c r="BL351">
        <v>770</v>
      </c>
      <c r="BM351">
        <v>68.17</v>
      </c>
      <c r="BN351">
        <v>3108</v>
      </c>
      <c r="BO351">
        <v>14603.8</v>
      </c>
      <c r="BP351">
        <v>14603.8</v>
      </c>
      <c r="BQ351">
        <v>14603.8</v>
      </c>
      <c r="BR351">
        <v>0</v>
      </c>
      <c r="BS351" t="s">
        <v>892</v>
      </c>
      <c r="BT351">
        <v>2999</v>
      </c>
      <c r="BV351" t="s">
        <v>3311</v>
      </c>
      <c r="BW351" t="s">
        <v>3350</v>
      </c>
      <c r="BX351" t="s">
        <v>895</v>
      </c>
      <c r="BY351" t="s">
        <v>3368</v>
      </c>
      <c r="CD351" t="s">
        <v>3376</v>
      </c>
      <c r="CG351" t="s">
        <v>3398</v>
      </c>
      <c r="CH351" t="s">
        <v>898</v>
      </c>
      <c r="CI351" t="s">
        <v>3399</v>
      </c>
      <c r="CJ351" t="s">
        <v>3399</v>
      </c>
      <c r="CP351" t="s">
        <v>2171</v>
      </c>
      <c r="CT351" t="s">
        <v>901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D8EF-695D-4161-86F4-DB48FC162F53}">
  <dimension ref="A1:B119"/>
  <sheetViews>
    <sheetView workbookViewId="0">
      <selection sqref="A1:B119"/>
    </sheetView>
  </sheetViews>
  <sheetFormatPr defaultRowHeight="13.5" x14ac:dyDescent="0.15"/>
  <sheetData>
    <row r="1" spans="1:2" x14ac:dyDescent="0.15">
      <c r="A1" t="s">
        <v>116</v>
      </c>
      <c r="B1" t="s">
        <v>1250</v>
      </c>
    </row>
    <row r="2" spans="1:2" x14ac:dyDescent="0.15">
      <c r="A2" t="s">
        <v>124</v>
      </c>
      <c r="B2" t="s">
        <v>2872</v>
      </c>
    </row>
    <row r="3" spans="1:2" x14ac:dyDescent="0.15">
      <c r="A3" t="s">
        <v>131</v>
      </c>
      <c r="B3" t="s">
        <v>1240</v>
      </c>
    </row>
    <row r="4" spans="1:2" x14ac:dyDescent="0.15">
      <c r="A4" t="s">
        <v>137</v>
      </c>
      <c r="B4" t="s">
        <v>1747</v>
      </c>
    </row>
    <row r="5" spans="1:2" x14ac:dyDescent="0.15">
      <c r="A5" t="s">
        <v>141</v>
      </c>
      <c r="B5" t="s">
        <v>1133</v>
      </c>
    </row>
    <row r="6" spans="1:2" x14ac:dyDescent="0.15">
      <c r="A6" t="s">
        <v>147</v>
      </c>
      <c r="B6" t="s">
        <v>1131</v>
      </c>
    </row>
    <row r="7" spans="1:2" x14ac:dyDescent="0.15">
      <c r="A7" t="s">
        <v>154</v>
      </c>
      <c r="B7" t="s">
        <v>1131</v>
      </c>
    </row>
    <row r="8" spans="1:2" x14ac:dyDescent="0.15">
      <c r="A8" t="s">
        <v>156</v>
      </c>
      <c r="B8" t="s">
        <v>1234</v>
      </c>
    </row>
    <row r="9" spans="1:2" x14ac:dyDescent="0.15">
      <c r="A9" t="s">
        <v>158</v>
      </c>
      <c r="B9" t="s">
        <v>1028</v>
      </c>
    </row>
    <row r="10" spans="1:2" x14ac:dyDescent="0.15">
      <c r="A10" t="s">
        <v>162</v>
      </c>
      <c r="B10" t="s">
        <v>1028</v>
      </c>
    </row>
    <row r="11" spans="1:2" x14ac:dyDescent="0.15">
      <c r="A11" t="s">
        <v>164</v>
      </c>
      <c r="B11" t="s">
        <v>995</v>
      </c>
    </row>
    <row r="12" spans="1:2" x14ac:dyDescent="0.15">
      <c r="A12" t="s">
        <v>167</v>
      </c>
      <c r="B12" t="s">
        <v>1131</v>
      </c>
    </row>
    <row r="13" spans="1:2" x14ac:dyDescent="0.15">
      <c r="A13" t="s">
        <v>169</v>
      </c>
      <c r="B13" t="s">
        <v>1131</v>
      </c>
    </row>
    <row r="14" spans="1:2" x14ac:dyDescent="0.15">
      <c r="A14" t="s">
        <v>171</v>
      </c>
      <c r="B14" t="s">
        <v>1028</v>
      </c>
    </row>
    <row r="15" spans="1:2" x14ac:dyDescent="0.15">
      <c r="A15" t="s">
        <v>173</v>
      </c>
      <c r="B15" t="s">
        <v>2014</v>
      </c>
    </row>
    <row r="16" spans="1:2" x14ac:dyDescent="0.15">
      <c r="A16" t="s">
        <v>175</v>
      </c>
      <c r="B16" t="s">
        <v>1131</v>
      </c>
    </row>
    <row r="17" spans="1:2" x14ac:dyDescent="0.15">
      <c r="A17" t="s">
        <v>177</v>
      </c>
      <c r="B17" t="s">
        <v>1083</v>
      </c>
    </row>
    <row r="18" spans="1:2" x14ac:dyDescent="0.15">
      <c r="A18" t="s">
        <v>179</v>
      </c>
      <c r="B18" t="s">
        <v>1088</v>
      </c>
    </row>
    <row r="19" spans="1:2" x14ac:dyDescent="0.15">
      <c r="A19" t="s">
        <v>181</v>
      </c>
      <c r="B19" t="s">
        <v>1995</v>
      </c>
    </row>
    <row r="20" spans="1:2" x14ac:dyDescent="0.15">
      <c r="A20" t="s">
        <v>183</v>
      </c>
      <c r="B20" t="s">
        <v>1131</v>
      </c>
    </row>
    <row r="21" spans="1:2" x14ac:dyDescent="0.15">
      <c r="A21" t="s">
        <v>185</v>
      </c>
      <c r="B21" t="s">
        <v>2043</v>
      </c>
    </row>
    <row r="22" spans="1:2" x14ac:dyDescent="0.15">
      <c r="A22" t="s">
        <v>187</v>
      </c>
      <c r="B22" t="s">
        <v>2045</v>
      </c>
    </row>
    <row r="23" spans="1:2" x14ac:dyDescent="0.15">
      <c r="A23" t="s">
        <v>189</v>
      </c>
      <c r="B23" t="s">
        <v>1101</v>
      </c>
    </row>
    <row r="24" spans="1:2" x14ac:dyDescent="0.15">
      <c r="A24" t="s">
        <v>191</v>
      </c>
      <c r="B24" t="s">
        <v>1028</v>
      </c>
    </row>
    <row r="25" spans="1:2" x14ac:dyDescent="0.15">
      <c r="A25" t="s">
        <v>197</v>
      </c>
      <c r="B25" t="s">
        <v>1131</v>
      </c>
    </row>
    <row r="26" spans="1:2" x14ac:dyDescent="0.15">
      <c r="A26" t="s">
        <v>199</v>
      </c>
      <c r="B26" t="s">
        <v>2885</v>
      </c>
    </row>
    <row r="27" spans="1:2" x14ac:dyDescent="0.15">
      <c r="A27" t="s">
        <v>207</v>
      </c>
      <c r="B27" t="s">
        <v>3019</v>
      </c>
    </row>
    <row r="28" spans="1:2" x14ac:dyDescent="0.15">
      <c r="A28" t="s">
        <v>209</v>
      </c>
      <c r="B28" t="s">
        <v>2885</v>
      </c>
    </row>
    <row r="29" spans="1:2" x14ac:dyDescent="0.15">
      <c r="A29" t="s">
        <v>211</v>
      </c>
      <c r="B29" t="s">
        <v>2885</v>
      </c>
    </row>
    <row r="30" spans="1:2" x14ac:dyDescent="0.15">
      <c r="A30" t="s">
        <v>217</v>
      </c>
      <c r="B30" t="s">
        <v>1028</v>
      </c>
    </row>
    <row r="31" spans="1:2" x14ac:dyDescent="0.15">
      <c r="A31" t="s">
        <v>219</v>
      </c>
      <c r="B31" t="s">
        <v>1252</v>
      </c>
    </row>
    <row r="32" spans="1:2" x14ac:dyDescent="0.15">
      <c r="A32" t="s">
        <v>221</v>
      </c>
      <c r="B32" t="s">
        <v>2919</v>
      </c>
    </row>
    <row r="33" spans="1:2" x14ac:dyDescent="0.15">
      <c r="A33" t="s">
        <v>223</v>
      </c>
      <c r="B33" t="s">
        <v>2909</v>
      </c>
    </row>
    <row r="34" spans="1:2" x14ac:dyDescent="0.15">
      <c r="A34" t="s">
        <v>225</v>
      </c>
      <c r="B34" t="s">
        <v>1252</v>
      </c>
    </row>
    <row r="35" spans="1:2" x14ac:dyDescent="0.15">
      <c r="A35" t="s">
        <v>231</v>
      </c>
      <c r="B35" t="s">
        <v>1028</v>
      </c>
    </row>
    <row r="36" spans="1:2" x14ac:dyDescent="0.15">
      <c r="A36" t="s">
        <v>233</v>
      </c>
      <c r="B36" t="s">
        <v>1131</v>
      </c>
    </row>
    <row r="37" spans="1:2" x14ac:dyDescent="0.15">
      <c r="A37" t="s">
        <v>237</v>
      </c>
      <c r="B37" t="s">
        <v>1252</v>
      </c>
    </row>
    <row r="38" spans="1:2" x14ac:dyDescent="0.15">
      <c r="A38" t="s">
        <v>239</v>
      </c>
      <c r="B38" t="s">
        <v>1252</v>
      </c>
    </row>
    <row r="39" spans="1:2" x14ac:dyDescent="0.15">
      <c r="A39" t="s">
        <v>241</v>
      </c>
      <c r="B39" t="s">
        <v>2885</v>
      </c>
    </row>
    <row r="40" spans="1:2" x14ac:dyDescent="0.15">
      <c r="A40" t="s">
        <v>243</v>
      </c>
      <c r="B40" t="s">
        <v>1252</v>
      </c>
    </row>
    <row r="41" spans="1:2" x14ac:dyDescent="0.15">
      <c r="A41" t="s">
        <v>245</v>
      </c>
      <c r="B41" t="s">
        <v>1028</v>
      </c>
    </row>
    <row r="42" spans="1:2" x14ac:dyDescent="0.15">
      <c r="A42" t="s">
        <v>253</v>
      </c>
      <c r="B42" t="s">
        <v>1034</v>
      </c>
    </row>
    <row r="43" spans="1:2" x14ac:dyDescent="0.15">
      <c r="A43" t="s">
        <v>255</v>
      </c>
      <c r="B43" t="s">
        <v>1131</v>
      </c>
    </row>
    <row r="44" spans="1:2" x14ac:dyDescent="0.15">
      <c r="A44" t="s">
        <v>257</v>
      </c>
      <c r="B44" t="s">
        <v>1088</v>
      </c>
    </row>
    <row r="45" spans="1:2" x14ac:dyDescent="0.15">
      <c r="A45" t="s">
        <v>259</v>
      </c>
      <c r="B45" t="s">
        <v>1088</v>
      </c>
    </row>
    <row r="46" spans="1:2" x14ac:dyDescent="0.15">
      <c r="A46" t="s">
        <v>261</v>
      </c>
      <c r="B46" t="s">
        <v>1028</v>
      </c>
    </row>
    <row r="47" spans="1:2" x14ac:dyDescent="0.15">
      <c r="A47" t="s">
        <v>263</v>
      </c>
      <c r="B47" t="s">
        <v>1240</v>
      </c>
    </row>
    <row r="48" spans="1:2" x14ac:dyDescent="0.15">
      <c r="A48" t="s">
        <v>267</v>
      </c>
      <c r="B48" t="s">
        <v>1088</v>
      </c>
    </row>
    <row r="49" spans="1:2" x14ac:dyDescent="0.15">
      <c r="A49" t="s">
        <v>269</v>
      </c>
      <c r="B49" t="s">
        <v>1088</v>
      </c>
    </row>
    <row r="50" spans="1:2" x14ac:dyDescent="0.15">
      <c r="A50" t="s">
        <v>271</v>
      </c>
      <c r="B50" t="s">
        <v>1103</v>
      </c>
    </row>
    <row r="51" spans="1:2" x14ac:dyDescent="0.15">
      <c r="A51" t="s">
        <v>275</v>
      </c>
      <c r="B51" t="s">
        <v>1131</v>
      </c>
    </row>
    <row r="52" spans="1:2" x14ac:dyDescent="0.15">
      <c r="A52" t="s">
        <v>277</v>
      </c>
      <c r="B52" t="s">
        <v>1028</v>
      </c>
    </row>
    <row r="53" spans="1:2" x14ac:dyDescent="0.15">
      <c r="A53" t="s">
        <v>279</v>
      </c>
      <c r="B53" t="s">
        <v>1028</v>
      </c>
    </row>
    <row r="54" spans="1:2" x14ac:dyDescent="0.15">
      <c r="A54" t="s">
        <v>283</v>
      </c>
      <c r="B54" t="s">
        <v>1088</v>
      </c>
    </row>
    <row r="55" spans="1:2" x14ac:dyDescent="0.15">
      <c r="A55" t="s">
        <v>285</v>
      </c>
      <c r="B55" t="s">
        <v>1088</v>
      </c>
    </row>
    <row r="56" spans="1:2" x14ac:dyDescent="0.15">
      <c r="A56" t="s">
        <v>287</v>
      </c>
      <c r="B56" t="s">
        <v>1133</v>
      </c>
    </row>
    <row r="57" spans="1:2" x14ac:dyDescent="0.15">
      <c r="A57" t="s">
        <v>289</v>
      </c>
      <c r="B57" t="s">
        <v>1131</v>
      </c>
    </row>
    <row r="58" spans="1:2" x14ac:dyDescent="0.15">
      <c r="A58" t="s">
        <v>295</v>
      </c>
      <c r="B58" t="s">
        <v>1101</v>
      </c>
    </row>
    <row r="59" spans="1:2" x14ac:dyDescent="0.15">
      <c r="A59" t="s">
        <v>301</v>
      </c>
      <c r="B59" t="s">
        <v>1131</v>
      </c>
    </row>
    <row r="60" spans="1:2" x14ac:dyDescent="0.15">
      <c r="A60" t="s">
        <v>305</v>
      </c>
      <c r="B60" t="s">
        <v>1028</v>
      </c>
    </row>
    <row r="61" spans="1:2" x14ac:dyDescent="0.15">
      <c r="A61" t="s">
        <v>307</v>
      </c>
      <c r="B61" t="s">
        <v>1133</v>
      </c>
    </row>
    <row r="62" spans="1:2" x14ac:dyDescent="0.15">
      <c r="A62" t="s">
        <v>309</v>
      </c>
      <c r="B62" t="s">
        <v>1758</v>
      </c>
    </row>
    <row r="63" spans="1:2" x14ac:dyDescent="0.15">
      <c r="A63" t="s">
        <v>311</v>
      </c>
      <c r="B63" t="s">
        <v>1028</v>
      </c>
    </row>
    <row r="64" spans="1:2" x14ac:dyDescent="0.15">
      <c r="A64" t="s">
        <v>313</v>
      </c>
      <c r="B64" t="s">
        <v>1131</v>
      </c>
    </row>
    <row r="65" spans="1:2" x14ac:dyDescent="0.15">
      <c r="A65" t="s">
        <v>317</v>
      </c>
      <c r="B65" t="s">
        <v>1292</v>
      </c>
    </row>
    <row r="66" spans="1:2" x14ac:dyDescent="0.15">
      <c r="A66" t="s">
        <v>319</v>
      </c>
      <c r="B66" t="s">
        <v>890</v>
      </c>
    </row>
    <row r="67" spans="1:2" x14ac:dyDescent="0.15">
      <c r="A67" t="s">
        <v>321</v>
      </c>
      <c r="B67" t="s">
        <v>1028</v>
      </c>
    </row>
    <row r="68" spans="1:2" x14ac:dyDescent="0.15">
      <c r="A68" t="s">
        <v>323</v>
      </c>
      <c r="B68" t="s">
        <v>1785</v>
      </c>
    </row>
    <row r="69" spans="1:2" x14ac:dyDescent="0.15">
      <c r="A69" t="s">
        <v>328</v>
      </c>
      <c r="B69" t="s">
        <v>1240</v>
      </c>
    </row>
    <row r="70" spans="1:2" x14ac:dyDescent="0.15">
      <c r="A70" t="s">
        <v>334</v>
      </c>
      <c r="B70" t="s">
        <v>1131</v>
      </c>
    </row>
    <row r="71" spans="1:2" x14ac:dyDescent="0.15">
      <c r="A71" t="s">
        <v>338</v>
      </c>
      <c r="B71" t="s">
        <v>1131</v>
      </c>
    </row>
    <row r="72" spans="1:2" x14ac:dyDescent="0.15">
      <c r="A72" t="s">
        <v>340</v>
      </c>
      <c r="B72" t="s">
        <v>995</v>
      </c>
    </row>
    <row r="73" spans="1:2" x14ac:dyDescent="0.15">
      <c r="A73" t="s">
        <v>343</v>
      </c>
      <c r="B73" t="s">
        <v>1038</v>
      </c>
    </row>
    <row r="74" spans="1:2" x14ac:dyDescent="0.15">
      <c r="A74" t="s">
        <v>345</v>
      </c>
      <c r="B74" t="s">
        <v>1240</v>
      </c>
    </row>
    <row r="75" spans="1:2" x14ac:dyDescent="0.15">
      <c r="A75" t="s">
        <v>347</v>
      </c>
      <c r="B75" t="s">
        <v>1028</v>
      </c>
    </row>
    <row r="76" spans="1:2" x14ac:dyDescent="0.15">
      <c r="A76" t="s">
        <v>349</v>
      </c>
      <c r="B76" t="s">
        <v>890</v>
      </c>
    </row>
    <row r="77" spans="1:2" x14ac:dyDescent="0.15">
      <c r="A77" t="s">
        <v>351</v>
      </c>
      <c r="B77" t="s">
        <v>2006</v>
      </c>
    </row>
    <row r="78" spans="1:2" x14ac:dyDescent="0.15">
      <c r="A78" t="s">
        <v>353</v>
      </c>
      <c r="B78" t="s">
        <v>1083</v>
      </c>
    </row>
    <row r="79" spans="1:2" x14ac:dyDescent="0.15">
      <c r="A79" t="s">
        <v>355</v>
      </c>
      <c r="B79" t="s">
        <v>890</v>
      </c>
    </row>
    <row r="80" spans="1:2" x14ac:dyDescent="0.15">
      <c r="A80" t="s">
        <v>357</v>
      </c>
      <c r="B80" t="s">
        <v>1085</v>
      </c>
    </row>
    <row r="81" spans="1:2" x14ac:dyDescent="0.15">
      <c r="A81" t="s">
        <v>359</v>
      </c>
      <c r="B81" t="s">
        <v>1114</v>
      </c>
    </row>
    <row r="82" spans="1:2" x14ac:dyDescent="0.15">
      <c r="A82" t="s">
        <v>361</v>
      </c>
      <c r="B82" t="s">
        <v>1028</v>
      </c>
    </row>
    <row r="83" spans="1:2" x14ac:dyDescent="0.15">
      <c r="A83" t="s">
        <v>365</v>
      </c>
      <c r="B83" t="s">
        <v>1034</v>
      </c>
    </row>
    <row r="84" spans="1:2" x14ac:dyDescent="0.15">
      <c r="A84" t="s">
        <v>369</v>
      </c>
      <c r="B84" t="s">
        <v>1038</v>
      </c>
    </row>
    <row r="85" spans="1:2" x14ac:dyDescent="0.15">
      <c r="A85" t="s">
        <v>373</v>
      </c>
      <c r="B85" t="s">
        <v>1292</v>
      </c>
    </row>
    <row r="86" spans="1:2" x14ac:dyDescent="0.15">
      <c r="A86" t="s">
        <v>381</v>
      </c>
      <c r="B86" t="s">
        <v>1240</v>
      </c>
    </row>
    <row r="87" spans="1:2" x14ac:dyDescent="0.15">
      <c r="A87" t="s">
        <v>386</v>
      </c>
      <c r="B87" t="s">
        <v>995</v>
      </c>
    </row>
    <row r="88" spans="1:2" x14ac:dyDescent="0.15">
      <c r="A88" t="s">
        <v>390</v>
      </c>
      <c r="B88" t="s">
        <v>1292</v>
      </c>
    </row>
    <row r="89" spans="1:2" x14ac:dyDescent="0.15">
      <c r="A89" t="s">
        <v>392</v>
      </c>
      <c r="B89" t="s">
        <v>1131</v>
      </c>
    </row>
    <row r="90" spans="1:2" x14ac:dyDescent="0.15">
      <c r="A90" t="s">
        <v>394</v>
      </c>
      <c r="B90" t="s">
        <v>1131</v>
      </c>
    </row>
    <row r="91" spans="1:2" x14ac:dyDescent="0.15">
      <c r="A91" t="s">
        <v>398</v>
      </c>
      <c r="B91" t="s">
        <v>1088</v>
      </c>
    </row>
    <row r="92" spans="1:2" x14ac:dyDescent="0.15">
      <c r="A92" t="s">
        <v>402</v>
      </c>
      <c r="B92" t="s">
        <v>1292</v>
      </c>
    </row>
    <row r="93" spans="1:2" x14ac:dyDescent="0.15">
      <c r="A93" t="s">
        <v>404</v>
      </c>
      <c r="B93" t="s">
        <v>1133</v>
      </c>
    </row>
    <row r="94" spans="1:2" x14ac:dyDescent="0.15">
      <c r="A94" t="s">
        <v>406</v>
      </c>
      <c r="B94" t="s">
        <v>1083</v>
      </c>
    </row>
    <row r="95" spans="1:2" x14ac:dyDescent="0.15">
      <c r="A95" t="s">
        <v>408</v>
      </c>
      <c r="B95" t="s">
        <v>1088</v>
      </c>
    </row>
    <row r="96" spans="1:2" x14ac:dyDescent="0.15">
      <c r="A96" t="s">
        <v>410</v>
      </c>
      <c r="B96" t="s">
        <v>1240</v>
      </c>
    </row>
    <row r="97" spans="1:2" x14ac:dyDescent="0.15">
      <c r="A97" t="s">
        <v>416</v>
      </c>
      <c r="B97" t="s">
        <v>1028</v>
      </c>
    </row>
    <row r="98" spans="1:2" x14ac:dyDescent="0.15">
      <c r="A98" t="s">
        <v>418</v>
      </c>
      <c r="B98" t="s">
        <v>1766</v>
      </c>
    </row>
    <row r="99" spans="1:2" x14ac:dyDescent="0.15">
      <c r="A99" t="s">
        <v>420</v>
      </c>
      <c r="B99" t="s">
        <v>1340</v>
      </c>
    </row>
    <row r="100" spans="1:2" x14ac:dyDescent="0.15">
      <c r="A100" t="s">
        <v>424</v>
      </c>
      <c r="B100" t="s">
        <v>1292</v>
      </c>
    </row>
    <row r="101" spans="1:2" x14ac:dyDescent="0.15">
      <c r="A101" t="s">
        <v>426</v>
      </c>
      <c r="B101" t="s">
        <v>1133</v>
      </c>
    </row>
    <row r="102" spans="1:2" x14ac:dyDescent="0.15">
      <c r="A102" t="s">
        <v>428</v>
      </c>
      <c r="B102" t="s">
        <v>1088</v>
      </c>
    </row>
    <row r="103" spans="1:2" x14ac:dyDescent="0.15">
      <c r="A103" t="s">
        <v>432</v>
      </c>
      <c r="B103" t="s">
        <v>1028</v>
      </c>
    </row>
    <row r="104" spans="1:2" x14ac:dyDescent="0.15">
      <c r="A104" t="s">
        <v>434</v>
      </c>
      <c r="B104" t="s">
        <v>1250</v>
      </c>
    </row>
    <row r="105" spans="1:2" x14ac:dyDescent="0.15">
      <c r="A105" t="s">
        <v>440</v>
      </c>
      <c r="B105" t="s">
        <v>1083</v>
      </c>
    </row>
    <row r="106" spans="1:2" x14ac:dyDescent="0.15">
      <c r="A106" t="s">
        <v>444</v>
      </c>
      <c r="B106" t="s">
        <v>1292</v>
      </c>
    </row>
    <row r="107" spans="1:2" x14ac:dyDescent="0.15">
      <c r="A107" t="s">
        <v>452</v>
      </c>
      <c r="B107" t="s">
        <v>1038</v>
      </c>
    </row>
    <row r="108" spans="1:2" x14ac:dyDescent="0.15">
      <c r="A108" t="s">
        <v>456</v>
      </c>
      <c r="B108" t="s">
        <v>1252</v>
      </c>
    </row>
    <row r="109" spans="1:2" x14ac:dyDescent="0.15">
      <c r="A109" t="s">
        <v>458</v>
      </c>
      <c r="B109" t="s">
        <v>1252</v>
      </c>
    </row>
    <row r="110" spans="1:2" x14ac:dyDescent="0.15">
      <c r="A110" t="s">
        <v>460</v>
      </c>
      <c r="B110" t="s">
        <v>1088</v>
      </c>
    </row>
    <row r="111" spans="1:2" x14ac:dyDescent="0.15">
      <c r="A111" t="s">
        <v>462</v>
      </c>
      <c r="B111" t="s">
        <v>2071</v>
      </c>
    </row>
    <row r="112" spans="1:2" x14ac:dyDescent="0.15">
      <c r="A112" t="s">
        <v>464</v>
      </c>
      <c r="B112" t="s">
        <v>995</v>
      </c>
    </row>
    <row r="113" spans="1:2" x14ac:dyDescent="0.15">
      <c r="A113" t="s">
        <v>466</v>
      </c>
      <c r="B113" t="s">
        <v>995</v>
      </c>
    </row>
    <row r="114" spans="1:2" x14ac:dyDescent="0.15">
      <c r="A114" t="s">
        <v>468</v>
      </c>
      <c r="B114" t="s">
        <v>1252</v>
      </c>
    </row>
    <row r="115" spans="1:2" x14ac:dyDescent="0.15">
      <c r="A115" t="s">
        <v>470</v>
      </c>
      <c r="B115" t="s">
        <v>1131</v>
      </c>
    </row>
    <row r="116" spans="1:2" x14ac:dyDescent="0.15">
      <c r="A116" t="s">
        <v>472</v>
      </c>
      <c r="B116" t="s">
        <v>1240</v>
      </c>
    </row>
    <row r="117" spans="1:2" x14ac:dyDescent="0.15">
      <c r="A117" t="s">
        <v>478</v>
      </c>
      <c r="B117" t="s">
        <v>1131</v>
      </c>
    </row>
    <row r="118" spans="1:2" x14ac:dyDescent="0.15">
      <c r="A118" t="s">
        <v>480</v>
      </c>
      <c r="B118" t="s">
        <v>1088</v>
      </c>
    </row>
    <row r="119" spans="1:2" x14ac:dyDescent="0.15">
      <c r="A119" t="s">
        <v>482</v>
      </c>
      <c r="B119" t="s">
        <v>1775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按到港分类货柜清单</vt:lpstr>
      <vt:lpstr>Sheet2</vt:lpstr>
      <vt:lpstr>Sheet1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2026-03-05T05:28:31Z</dcterms:created>
  <dcterms:modified xsi:type="dcterms:W3CDTF">2026-03-06T11:52:36Z</dcterms:modified>
  <cp:category/>
</cp:coreProperties>
</file>